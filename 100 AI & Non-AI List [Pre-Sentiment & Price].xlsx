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Steam_AI_Research\"/>
    </mc:Choice>
  </mc:AlternateContent>
  <xr:revisionPtr revIDLastSave="0" documentId="13_ncr:1_{5D03D670-512A-4928-A46C-BA2A124E0E18}" xr6:coauthVersionLast="47" xr6:coauthVersionMax="47" xr10:uidLastSave="{00000000-0000-0000-0000-000000000000}"/>
  <bookViews>
    <workbookView xWindow="-110" yWindow="-110" windowWidth="25820" windowHeight="13900" activeTab="1" xr2:uid="{00000000-000D-0000-FFFF-FFFF00000000}"/>
  </bookViews>
  <sheets>
    <sheet name="AI" sheetId="1" r:id="rId1"/>
    <sheet name="Non-AI Contro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00" i="2" l="1"/>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alcChain>
</file>

<file path=xl/sharedStrings.xml><?xml version="1.0" encoding="utf-8"?>
<sst xmlns="http://schemas.openxmlformats.org/spreadsheetml/2006/main" count="672" uniqueCount="537">
  <si>
    <t>Price Tier</t>
  </si>
  <si>
    <t>re</t>
  </si>
  <si>
    <t>AppID</t>
  </si>
  <si>
    <t>Dev Tier</t>
  </si>
  <si>
    <t>URL</t>
  </si>
  <si>
    <t>Macro Genre</t>
  </si>
  <si>
    <t>Game Title</t>
  </si>
  <si>
    <t>Release Date</t>
  </si>
  <si>
    <t>AI Disclosure Type</t>
  </si>
  <si>
    <t>Disclosure Clarity</t>
  </si>
  <si>
    <t>Launch Base Price (USD)</t>
  </si>
  <si>
    <t>First Price Change Date</t>
  </si>
  <si>
    <t>Price Adjustment Count</t>
  </si>
  <si>
    <t>Current Base Price (USD)</t>
  </si>
  <si>
    <t>Is_Multiplayer</t>
  </si>
  <si>
    <t>Is_Early_Access</t>
  </si>
  <si>
    <t>Global Review Count</t>
  </si>
  <si>
    <t>Global Rating %</t>
  </si>
  <si>
    <t>EXAMPLE</t>
  </si>
  <si>
    <t>Numeric</t>
  </si>
  <si>
    <t>Text</t>
  </si>
  <si>
    <t>YYYY-MM-DD</t>
  </si>
  <si>
    <t>Link</t>
  </si>
  <si>
    <t>0 (NO DISCLOSURE) / 1  (Art, textures, 3D models, voice acting, music) / 2 (LLM translations, AI-driven narrative, live AI NPCs, code generation) / 3 (Upscaling, internal tool workflows, assistive (e.g. visual and textual elements in this game were created with the assistance of generative tools and were then edited, curated, and integrated into final game), or training strictly on opt-in/owned IP) / 4 (promotional/storepage/outside game itself)</t>
  </si>
  <si>
    <t>0 N/A / 1 Explicit / 2 Vague (Hedged Disclosures or vague statements)</t>
  </si>
  <si>
    <t>Numeric ($)</t>
  </si>
  <si>
    <t>0 / YYYY-MM-DD</t>
  </si>
  <si>
    <t>1  (Art, textures, 3D models, voice acting, music) / 2 (LLM translations, AI-driven narrative, live AI NPCs, code generation) / 3 (Upscaling, internal tool workflows, assistive (e.g. visual and textual elements in this game were created with the assistance of generative tools and were then edited, curated, and integrated into final game), or training strictly on opt-in/owned IP) / 4 (promotional/storepage/outside game itself)</t>
  </si>
  <si>
    <t>0 No Count / Numeric Change Count</t>
  </si>
  <si>
    <t>1 Explicit / 2 Vague (Hedged Disclosures or vague statements)</t>
  </si>
  <si>
    <t>1 Budget ($0.99 – $14.99) / 2 Mid ($15.00 – $29.99) / 3 Premium ($30.00+)</t>
  </si>
  <si>
    <t>Indie 1 / AA-AAA 2</t>
  </si>
  <si>
    <t xml:space="preserve">1 Action-Adventure / 2 RPG-Narrative / 3 Strat-Sim / 4 Puzzle-Casual       </t>
  </si>
  <si>
    <t>1 (Single) or 2 (Multi)</t>
  </si>
  <si>
    <t>0 No / 1 Yes</t>
  </si>
  <si>
    <t>Numeric (%)</t>
  </si>
  <si>
    <t>Game 1</t>
  </si>
  <si>
    <t>https://store.steampowered.com/app/4834070/Dont_Sleep_With_The_Fishes/</t>
  </si>
  <si>
    <t>https://store.steampowered.com/app/4551040/Animal_Company/</t>
  </si>
  <si>
    <r>
      <rPr>
        <u/>
        <sz val="10"/>
        <color rgb="FF1155CC"/>
        <rFont val="Arial"/>
      </rPr>
      <t>Don't Sleep With The Fishes</t>
    </r>
  </si>
  <si>
    <t>Animal Company</t>
  </si>
  <si>
    <t>Game 2</t>
  </si>
  <si>
    <t>https://store.steampowered.com/app/2744010/Urban_Jungle/</t>
  </si>
  <si>
    <t>https://store.steampowered.com/app/2625420/Drive_Beyond_Horizons/</t>
  </si>
  <si>
    <r>
      <rPr>
        <u/>
        <sz val="10"/>
        <color rgb="FF1155CC"/>
        <rFont val="Arial"/>
      </rPr>
      <t>Urban Jungl</t>
    </r>
    <r>
      <rPr>
        <sz val="10"/>
        <rFont val="Arial"/>
      </rPr>
      <t>e</t>
    </r>
  </si>
  <si>
    <t>Drive Beyond Horizons</t>
  </si>
  <si>
    <t>Game 3</t>
  </si>
  <si>
    <t>https://store.steampowered.com/app/3734400/Creepy_Shift_Uncle_Joes_Motel/</t>
  </si>
  <si>
    <t>https://store.steampowered.com/app/3137520/Gun_Factory_Simulator/</t>
  </si>
  <si>
    <r>
      <rPr>
        <u/>
        <sz val="10"/>
        <color rgb="FF1155CC"/>
        <rFont val="Arial"/>
      </rPr>
      <t>Creepy Shift: Uncle Joe’s Motel</t>
    </r>
  </si>
  <si>
    <t>Gun Factory Simulator</t>
  </si>
  <si>
    <t>Game 4</t>
  </si>
  <si>
    <t>https://store.steampowered.com/app/3913270/Slimeward/</t>
  </si>
  <si>
    <t>https://store.steampowered.com/app/3408110/Cafemart_Simulator/</t>
  </si>
  <si>
    <r>
      <rPr>
        <u/>
        <sz val="10"/>
        <color rgb="FF1155CC"/>
        <rFont val="Arial"/>
      </rPr>
      <t>Slimeward</t>
    </r>
  </si>
  <si>
    <t>Game 5</t>
  </si>
  <si>
    <r>
      <rPr>
        <u/>
        <sz val="10"/>
        <color rgb="FF1155CC"/>
        <rFont val="Arial"/>
      </rPr>
      <t>Cafemart Simulator</t>
    </r>
  </si>
  <si>
    <t>https://store.steampowered.com/app/2129220/Zoo_Simulator/</t>
  </si>
  <si>
    <r>
      <rPr>
        <u/>
        <sz val="10"/>
        <color rgb="FF1155CC"/>
        <rFont val="Arial"/>
      </rPr>
      <t>Zoo Simulator</t>
    </r>
  </si>
  <si>
    <t>https://store.steampowered.com/app/3177970/Bioweaver/</t>
  </si>
  <si>
    <t>Game 6</t>
  </si>
  <si>
    <t>https://store.steampowered.com/app/2720950/Grunn/</t>
  </si>
  <si>
    <t>Grunn</t>
  </si>
  <si>
    <t>Bioweaver</t>
  </si>
  <si>
    <t>Game 7</t>
  </si>
  <si>
    <t>https://store.steampowered.com/app/3279440/Drone_Sector/</t>
  </si>
  <si>
    <t>https://store.steampowered.com/app/3393740/Firefly_Village/</t>
  </si>
  <si>
    <r>
      <rPr>
        <u/>
        <sz val="10"/>
        <color rgb="FF1155CC"/>
        <rFont val="Arial"/>
      </rPr>
      <t>Firefly Village</t>
    </r>
  </si>
  <si>
    <t>Drone Sector</t>
  </si>
  <si>
    <t>Game 8</t>
  </si>
  <si>
    <t>https://store.steampowered.com/app/3482510/Packing_Life/</t>
  </si>
  <si>
    <t>https://store.steampowered.com/app/3569500/Card_Shop_Simulator_Multiplayer/</t>
  </si>
  <si>
    <r>
      <rPr>
        <u/>
        <sz val="10"/>
        <color rgb="FF1155CC"/>
        <rFont val="Arial"/>
      </rPr>
      <t>Packing Life</t>
    </r>
  </si>
  <si>
    <t>Card Shop Simulator Multiplayer</t>
  </si>
  <si>
    <t>Game 9</t>
  </si>
  <si>
    <t>https://store.steampowered.com/app/4768400/Idle_Crown/</t>
  </si>
  <si>
    <t>https://store.steampowered.com/app/4231470/Chopped_Up/</t>
  </si>
  <si>
    <r>
      <rPr>
        <u/>
        <sz val="10"/>
        <color rgb="FF1155CC"/>
        <rFont val="Arial"/>
      </rPr>
      <t>Chopped Up</t>
    </r>
  </si>
  <si>
    <t>Idle Crown</t>
  </si>
  <si>
    <t>Game 10</t>
  </si>
  <si>
    <t>https://store.steampowered.com/app/3252360/Unemployment_Simulator_2018/</t>
  </si>
  <si>
    <t>https://store.steampowered.com/app/3498390/Astroloot/</t>
  </si>
  <si>
    <t>Astroloot</t>
  </si>
  <si>
    <t>Unemployment Simulator 2018</t>
  </si>
  <si>
    <t>https://store.steampowered.com/app/2576150/LET_IT_DIE_INFERNO/</t>
  </si>
  <si>
    <t>Game 11</t>
  </si>
  <si>
    <t>https://store.steampowered.com/app/2729820/Vending_Dokan_Kozy_Kiosk/</t>
  </si>
  <si>
    <t>LET IT DIE: INFERNO</t>
  </si>
  <si>
    <t>https://store.steampowered.com/app/3444080/Bakery_Cafe_Simulator/</t>
  </si>
  <si>
    <t>Vending Dokan!: Kozy Kiosk</t>
  </si>
  <si>
    <t>Bakery Cafe Simulator</t>
  </si>
  <si>
    <t>Game 12</t>
  </si>
  <si>
    <t>https://store.steampowered.com/app/860020/EXFIL/</t>
  </si>
  <si>
    <t>https://store.steampowered.com/app/2856370/Into_the_Emberlands/</t>
  </si>
  <si>
    <t>EXFIL</t>
  </si>
  <si>
    <r>
      <rPr>
        <u/>
        <sz val="10"/>
        <color rgb="FF1155CC"/>
        <rFont val="Arial"/>
      </rPr>
      <t>Into the Emberlands</t>
    </r>
  </si>
  <si>
    <t>Game 13</t>
  </si>
  <si>
    <t>https://store.steampowered.com/app/3163790/Toy_Shop_Simulator/</t>
  </si>
  <si>
    <t>https://store.steampowered.com/app/3894850/Nothing_To_Declare/</t>
  </si>
  <si>
    <t>Toy Shop Simulator</t>
  </si>
  <si>
    <r>
      <rPr>
        <u/>
        <sz val="10"/>
        <color rgb="FF1155CC"/>
        <rFont val="Arial"/>
      </rPr>
      <t>Nothing To Declar</t>
    </r>
    <r>
      <rPr>
        <sz val="10"/>
        <rFont val="Arial"/>
      </rPr>
      <t>e</t>
    </r>
  </si>
  <si>
    <t>Game 14</t>
  </si>
  <si>
    <t>https://store.steampowered.com/app/3440120/_Knights_of_the_Crusades/</t>
  </si>
  <si>
    <t>https://store.steampowered.com/app/2479290/Computer_Repair_Shop/</t>
  </si>
  <si>
    <t>Knights of the Crusades</t>
  </si>
  <si>
    <r>
      <rPr>
        <u/>
        <sz val="10"/>
        <color rgb="FF1155CC"/>
        <rFont val="Arial"/>
      </rPr>
      <t>Computer Repair Shop</t>
    </r>
  </si>
  <si>
    <t>Game 15</t>
  </si>
  <si>
    <t>https://store.steampowered.com/app/3809110/Japan_Stigmatized_Property/</t>
  </si>
  <si>
    <t>https://store.steampowered.com/app/3179050/Piece_by_Piece/</t>
  </si>
  <si>
    <r>
      <rPr>
        <u/>
        <sz val="10"/>
        <color rgb="FF1155CC"/>
        <rFont val="Arial"/>
      </rPr>
      <t>Japan Stigmatized Property -日本事故物件監視協会-</t>
    </r>
  </si>
  <si>
    <r>
      <rPr>
        <u/>
        <sz val="10"/>
        <color rgb="FF1155CC"/>
        <rFont val="Arial"/>
      </rPr>
      <t>Piece by Piece</t>
    </r>
  </si>
  <si>
    <t>Game 16</t>
  </si>
  <si>
    <t>https://store.steampowered.com/app/4148530/City_Transport_Simulator_2026__Bus__Tram/</t>
  </si>
  <si>
    <t>https://store.steampowered.com/app/2342690/Call_of_Boba/</t>
  </si>
  <si>
    <t>City Transport Simulator 2026</t>
  </si>
  <si>
    <r>
      <rPr>
        <u/>
        <sz val="10"/>
        <color rgb="FF1155CC"/>
        <rFont val="Arial"/>
      </rPr>
      <t>Call of Boba</t>
    </r>
  </si>
  <si>
    <t>Game 17</t>
  </si>
  <si>
    <t>https://store.steampowered.com/app/3939100/Insomnia_Chapter_One/</t>
  </si>
  <si>
    <t>https://store.steampowered.com/app/3978250/Sector_Space/</t>
  </si>
  <si>
    <t>Insomnia: Chapter One</t>
  </si>
  <si>
    <t>Game 18</t>
  </si>
  <si>
    <t>https://store.steampowered.com/app/2726370/Suck_Up/</t>
  </si>
  <si>
    <r>
      <rPr>
        <u/>
        <sz val="10"/>
        <color rgb="FF1155CC"/>
        <rFont val="Arial"/>
      </rPr>
      <t>Sector Space</t>
    </r>
  </si>
  <si>
    <t>Suck Up!</t>
  </si>
  <si>
    <t>Game 19</t>
  </si>
  <si>
    <t>https://store.steampowered.com/app/1226970/Disco_Simulator/</t>
  </si>
  <si>
    <t>https://store.steampowered.com/app/3573430/Cargo_Simulator/</t>
  </si>
  <si>
    <r>
      <rPr>
        <u/>
        <sz val="10"/>
        <color rgb="FF1155CC"/>
        <rFont val="Arial"/>
      </rPr>
      <t>Disco Simulato</t>
    </r>
    <r>
      <rPr>
        <sz val="10"/>
        <rFont val="Arial"/>
      </rPr>
      <t>r</t>
    </r>
  </si>
  <si>
    <t>Cargo Simulator</t>
  </si>
  <si>
    <t>Game 20</t>
  </si>
  <si>
    <t>https://store.steampowered.com/app/990380/METAL_EDEN/</t>
  </si>
  <si>
    <t>https://store.steampowered.com/app/2789460/Ale_Abbey__Monastery_Brewery_Tycoon/</t>
  </si>
  <si>
    <r>
      <rPr>
        <u/>
        <sz val="10"/>
        <color rgb="FF1155CC"/>
        <rFont val="Arial"/>
      </rPr>
      <t>METAL EDEN</t>
    </r>
  </si>
  <si>
    <r>
      <rPr>
        <u/>
        <sz val="10"/>
        <color rgb="FF1155CC"/>
        <rFont val="Arial"/>
      </rPr>
      <t>Ale Abbey - Monastery Brewery Tycoon</t>
    </r>
  </si>
  <si>
    <t>Game 21</t>
  </si>
  <si>
    <t>https://store.steampowered.com/app/1129570/Industry_Giant_40/</t>
  </si>
  <si>
    <t>https://store.steampowered.com/app/3299080/Snow_Resort_Simulator/</t>
  </si>
  <si>
    <t>Industry Giant 4.0</t>
  </si>
  <si>
    <t>Snow Resort Simulator</t>
  </si>
  <si>
    <t>Game 22</t>
  </si>
  <si>
    <t>https://store.steampowered.com/app/2017480/Elengard_Ascension/</t>
  </si>
  <si>
    <t>https://store.steampowered.com/app/3841970/Battle_On_Hero_Academy/</t>
  </si>
  <si>
    <t>Elengard: Ascension</t>
  </si>
  <si>
    <r>
      <rPr>
        <u/>
        <sz val="10"/>
        <color rgb="FF1155CC"/>
        <rFont val="Arial"/>
      </rPr>
      <t>Battle On! Hero Academ</t>
    </r>
    <r>
      <rPr>
        <sz val="10"/>
        <rFont val="Arial"/>
      </rPr>
      <t>y</t>
    </r>
  </si>
  <si>
    <t>Game 23</t>
  </si>
  <si>
    <t>https://store.steampowered.com/app/2393970/Human_Host/</t>
  </si>
  <si>
    <t>https://store.steampowered.com/app/2393730/Legendary_Pilots/</t>
  </si>
  <si>
    <t>Human Host</t>
  </si>
  <si>
    <t>Game 24</t>
  </si>
  <si>
    <t>https://store.steampowered.com/app/3633250/Junji_Ito_Maniac_An_Infinite_Gaol/</t>
  </si>
  <si>
    <r>
      <rPr>
        <u/>
        <sz val="10"/>
        <color rgb="FF1155CC"/>
        <rFont val="Arial"/>
      </rPr>
      <t>Legendary Pilots</t>
    </r>
  </si>
  <si>
    <t>Junji Ito Maniac: An Infinite Gaol</t>
  </si>
  <si>
    <t>Game 25</t>
  </si>
  <si>
    <t>https://store.steampowered.com/app/3553210/Auto_Rogue/</t>
  </si>
  <si>
    <t>https://store.steampowered.com/app/1114150/CarX_Street/</t>
  </si>
  <si>
    <t>CarX Street</t>
  </si>
  <si>
    <r>
      <rPr>
        <u/>
        <sz val="10"/>
        <color rgb="FF1155CC"/>
        <rFont val="Arial"/>
      </rPr>
      <t>Auto Rogue</t>
    </r>
  </si>
  <si>
    <t>Game 26</t>
  </si>
  <si>
    <t>https://store.steampowered.com/app/3140620/CAST_CHERNOZEM_ANOMALY_STRIKE_TEAM/</t>
  </si>
  <si>
    <t>https://store.steampowered.com/app/2216660/Mortal_Glory_2/</t>
  </si>
  <si>
    <t>C.A.S.T. (CHERNOZEM ANOMALY STRIKE TEAM)</t>
  </si>
  <si>
    <t>Mortal Glory 2</t>
  </si>
  <si>
    <t>Game 27</t>
  </si>
  <si>
    <t>https://store.steampowered.com/app/2445980/GRebels/</t>
  </si>
  <si>
    <t>https://store.steampowered.com/app/3259470/Papas_Pizzeria_Deluxe/</t>
  </si>
  <si>
    <t>G-Rebels</t>
  </si>
  <si>
    <t>Game 28</t>
  </si>
  <si>
    <t>https://store.steampowered.com/app/3972650/Backpack_Jianghu/</t>
  </si>
  <si>
    <t>Papa's Pizzeria Deluxe</t>
  </si>
  <si>
    <t>Backpack Jianghu</t>
  </si>
  <si>
    <t>Game 29</t>
  </si>
  <si>
    <t>https://store.steampowered.com/app/2434600/ShantyTown/</t>
  </si>
  <si>
    <t>https://store.steampowered.com/app/3928990/Food_Processing_Simulator/</t>
  </si>
  <si>
    <t>ShantyTown</t>
  </si>
  <si>
    <t>Food Processing Simulator</t>
  </si>
  <si>
    <t>Game 30</t>
  </si>
  <si>
    <t>https://store.steampowered.com/app/3565080/Cyber_Rats/</t>
  </si>
  <si>
    <t>https://store.steampowered.com/app/3109580/I_Am_Legion_Stand_Survivors/</t>
  </si>
  <si>
    <t>Cyber Rats</t>
  </si>
  <si>
    <t>Game 31</t>
  </si>
  <si>
    <r>
      <rPr>
        <u/>
        <sz val="10"/>
        <color rgb="FF1155CC"/>
        <rFont val="Arial"/>
      </rPr>
      <t>I Am Legion: Stand Survivors</t>
    </r>
  </si>
  <si>
    <t>https://store.steampowered.com/app/2986370/Food_Delivery_Simulator/</t>
  </si>
  <si>
    <t>Food Delivery Simulator</t>
  </si>
  <si>
    <t>Game 32</t>
  </si>
  <si>
    <t>https://store.steampowered.com/app/2741490/At_Tonys/</t>
  </si>
  <si>
    <t>https://store.steampowered.com/app/3772080/blis3Phenomena/</t>
  </si>
  <si>
    <t>Iblis3:Phenomena</t>
  </si>
  <si>
    <t>At Tony's</t>
  </si>
  <si>
    <t>Game 33</t>
  </si>
  <si>
    <t>https://store.steampowered.com/app/3528280/Crime_Detective_Red_Flags/</t>
  </si>
  <si>
    <t>https://store.steampowered.com/app/2760790/Another_Farm_Roguelike_Rebirth/</t>
  </si>
  <si>
    <t>Crime Detective: Red Flags</t>
  </si>
  <si>
    <t>Game 34</t>
  </si>
  <si>
    <t>https://store.steampowered.com/app/4032350/EA_SPORTS_College_Football_27/</t>
  </si>
  <si>
    <r>
      <rPr>
        <u/>
        <sz val="10"/>
        <color rgb="FF1155CC"/>
        <rFont val="Arial"/>
      </rPr>
      <t>Another Farm Roguelike: Rebirth</t>
    </r>
  </si>
  <si>
    <t>EA SPORTS™ College Football 27</t>
  </si>
  <si>
    <t>Game 35</t>
  </si>
  <si>
    <t>https://store.steampowered.com/app/3464970/Holder_of_Place/</t>
  </si>
  <si>
    <t>https://store.steampowered.com/app/2430390/DYSPLACED/</t>
  </si>
  <si>
    <t>DYSPLACED</t>
  </si>
  <si>
    <r>
      <rPr>
        <u/>
        <sz val="10"/>
        <color rgb="FF1155CC"/>
        <rFont val="Arial"/>
      </rPr>
      <t>Holder of Place</t>
    </r>
  </si>
  <si>
    <t>Game 36</t>
  </si>
  <si>
    <t>https://store.steampowered.com/app/4570720/DragonSword__Awakening/</t>
  </si>
  <si>
    <t>https://store.steampowered.com/app/2721890/oo/</t>
  </si>
  <si>
    <t>DragonSword : Awakening</t>
  </si>
  <si>
    <t>Game 37</t>
  </si>
  <si>
    <t>https://store.steampowered.com/app/3992260/Ascend_From_Nine_Mountains/</t>
  </si>
  <si>
    <r>
      <rPr>
        <u/>
        <sz val="10"/>
        <color rgb="FF1155CC"/>
        <rFont val="Arial"/>
      </rPr>
      <t>Öoo</t>
    </r>
  </si>
  <si>
    <t>Ascend From Nine Mountains</t>
  </si>
  <si>
    <t>Game 38</t>
  </si>
  <si>
    <t>https://store.steampowered.com/app/1543710/Beyond_Galaxyland/</t>
  </si>
  <si>
    <t>https://store.steampowered.com/app/3919360/Dig_Island/</t>
  </si>
  <si>
    <t>Beyond Galaxyland</t>
  </si>
  <si>
    <t>Dig Island</t>
  </si>
  <si>
    <t>Game 39</t>
  </si>
  <si>
    <t>https://store.steampowered.com/app/3266090/IT_Specialist_Simulator/</t>
  </si>
  <si>
    <t>https://store.steampowered.com/app/3237920/Mech_Havoc/</t>
  </si>
  <si>
    <t>IT Specialist Simulator</t>
  </si>
  <si>
    <t>Game 40</t>
  </si>
  <si>
    <r>
      <rPr>
        <u/>
        <sz val="10"/>
        <color rgb="FF1155CC"/>
        <rFont val="Arial"/>
      </rPr>
      <t>Mech Havoc</t>
    </r>
  </si>
  <si>
    <t>https://store.steampowered.com/app/2959610/Cabin_Crew_Life_Simulator/</t>
  </si>
  <si>
    <t>Cabin Crew Life Simulator</t>
  </si>
  <si>
    <t>https://store.steampowered.com/app/3011850/CRUELTY/</t>
  </si>
  <si>
    <t>Game 41</t>
  </si>
  <si>
    <t>https://store.steampowered.com/app/3924170/Eternal_Afternoon/</t>
  </si>
  <si>
    <r>
      <rPr>
        <u/>
        <sz val="10"/>
        <color rgb="FF1155CC"/>
        <rFont val="Arial"/>
      </rPr>
      <t>CRUELT</t>
    </r>
    <r>
      <rPr>
        <sz val="10"/>
        <rFont val="Arial"/>
      </rPr>
      <t>Y</t>
    </r>
  </si>
  <si>
    <t>Eternal Afternoon</t>
  </si>
  <si>
    <t>Game 42</t>
  </si>
  <si>
    <t>https://store.steampowered.com/app/2101890/Zoonomaly/</t>
  </si>
  <si>
    <t>https://store.steampowered.com/app/2597810/Afallon/</t>
  </si>
  <si>
    <t>Afallon</t>
  </si>
  <si>
    <r>
      <rPr>
        <u/>
        <sz val="10"/>
        <color rgb="FF1155CC"/>
        <rFont val="Arial"/>
      </rPr>
      <t>Zoonomaly</t>
    </r>
  </si>
  <si>
    <t>Game 43</t>
  </si>
  <si>
    <t>https://store.steampowered.com/app/2215410/Anime_City/</t>
  </si>
  <si>
    <t>https://store.steampowered.com/app/2850100/Dungeon_Exiles/</t>
  </si>
  <si>
    <t>Anime City</t>
  </si>
  <si>
    <r>
      <rPr>
        <u/>
        <sz val="10"/>
        <color rgb="FF1155CC"/>
        <rFont val="Arial"/>
      </rPr>
      <t>Dungeon Exiles</t>
    </r>
  </si>
  <si>
    <t>Game 44</t>
  </si>
  <si>
    <t>https://store.steampowered.com/app/3073580/Aquatic_Store_Simulator/</t>
  </si>
  <si>
    <t>https://store.steampowered.com/app/3480990/There_Are_No_Orcs/</t>
  </si>
  <si>
    <t>Aquatic Store Simulator</t>
  </si>
  <si>
    <t>Game 45</t>
  </si>
  <si>
    <t>https://store.steampowered.com/app/2923390/Clothing_Store_Simulator/</t>
  </si>
  <si>
    <r>
      <rPr>
        <u/>
        <sz val="10"/>
        <color rgb="FF1155CC"/>
        <rFont val="Arial"/>
      </rPr>
      <t>There Are No Orcs</t>
    </r>
  </si>
  <si>
    <t>Clothing Store Simulator</t>
  </si>
  <si>
    <t>Game 46</t>
  </si>
  <si>
    <t>https://store.steampowered.com/app/3226210/Skeleseller/</t>
  </si>
  <si>
    <t>https://store.steampowered.com/app/4303040/Pyromaniac/</t>
  </si>
  <si>
    <t>Skeleseller</t>
  </si>
  <si>
    <r>
      <rPr>
        <u/>
        <sz val="10"/>
        <color rgb="FF1155CC"/>
        <rFont val="Arial"/>
      </rPr>
      <t>Pyromania</t>
    </r>
    <r>
      <rPr>
        <sz val="10"/>
        <rFont val="Arial"/>
      </rPr>
      <t>c</t>
    </r>
  </si>
  <si>
    <t>Game 47</t>
  </si>
  <si>
    <t>https://store.steampowered.com/app/1679510/Plushie_from_the_Sky/</t>
  </si>
  <si>
    <t>https://store.steampowered.com/app/4384550/Call_of_Duty_Black_Ops_6/</t>
  </si>
  <si>
    <r>
      <rPr>
        <u/>
        <sz val="10"/>
        <color rgb="FF1155CC"/>
        <rFont val="Arial"/>
      </rPr>
      <t>Plushie from the Sky</t>
    </r>
  </si>
  <si>
    <t>Call of Duty®: Black Ops 6</t>
  </si>
  <si>
    <t>Game 48</t>
  </si>
  <si>
    <t>https://store.steampowered.com/app/3237570/delivery_pals/</t>
  </si>
  <si>
    <t>https://store.steampowered.com/app/2793370/Chillas_Art_Shinkansen_0___0/</t>
  </si>
  <si>
    <t>delivery pals</t>
  </si>
  <si>
    <t>[Chilla's Art] Shinkansen 0 | 新幹線 0号</t>
  </si>
  <si>
    <t>Game 49</t>
  </si>
  <si>
    <t>https://store.steampowered.com/app/2425150/King_of_Retail_2/</t>
  </si>
  <si>
    <t>King of Retail 2</t>
  </si>
  <si>
    <t>https://store.steampowered.com/app/4277790/Blackjack_Descent/</t>
  </si>
  <si>
    <t>Game 50</t>
  </si>
  <si>
    <t>https://store.steampowered.com/app/3130340/Bean_There_Won_That/</t>
  </si>
  <si>
    <t>Bean There, Won That</t>
  </si>
  <si>
    <r>
      <rPr>
        <u/>
        <sz val="10"/>
        <color rgb="FF1155CC"/>
        <rFont val="Arial"/>
      </rPr>
      <t>Blackjack Descent</t>
    </r>
  </si>
  <si>
    <t>Game 51</t>
  </si>
  <si>
    <t>https://store.steampowered.com/app/3702930/Bum_Revenge/</t>
  </si>
  <si>
    <t>https://store.steampowered.com/app/2379780/Balatro/</t>
  </si>
  <si>
    <t>Bum: Revenge</t>
  </si>
  <si>
    <t>Game 52</t>
  </si>
  <si>
    <t>https://store.steampowered.com/app/1842470/DeathOmen/</t>
  </si>
  <si>
    <r>
      <rPr>
        <u/>
        <sz val="10"/>
        <color rgb="FF1155CC"/>
        <rFont val="Arial"/>
      </rPr>
      <t>Balatro</t>
    </r>
  </si>
  <si>
    <t>DeathOmen</t>
  </si>
  <si>
    <t>Game 53</t>
  </si>
  <si>
    <t>https://store.steampowered.com/app/4530880/BACKSPACE/</t>
  </si>
  <si>
    <t>https://store.steampowered.com/app/3355800/Bank_Simulator/</t>
  </si>
  <si>
    <t>Bank Simulator</t>
  </si>
  <si>
    <r>
      <rPr>
        <u/>
        <sz val="10"/>
        <color rgb="FF1155CC"/>
        <rFont val="Arial"/>
      </rPr>
      <t>BACK*SPACE</t>
    </r>
  </si>
  <si>
    <t>Game 54</t>
  </si>
  <si>
    <t>https://store.steampowered.com/app/3098470/Arctic_Motel_Simulator/</t>
  </si>
  <si>
    <t>https://store.steampowered.com/app/3929760/Incredicer/</t>
  </si>
  <si>
    <t>Arctic Motel Simulator</t>
  </si>
  <si>
    <t>Game 55</t>
  </si>
  <si>
    <t>https://store.steampowered.com/app/2786550/CURE__A_Hospital_Simulator/</t>
  </si>
  <si>
    <r>
      <rPr>
        <u/>
        <sz val="10"/>
        <color rgb="FF1155CC"/>
        <rFont val="Arial"/>
      </rPr>
      <t>Incredicer</t>
    </r>
  </si>
  <si>
    <t>CURE - A Hospital Simulator</t>
  </si>
  <si>
    <t>Game 56</t>
  </si>
  <si>
    <t>https://store.steampowered.com/app/3694480/A_Game_About_Feeding_A_Black_Hole/</t>
  </si>
  <si>
    <t>https://store.steampowered.com/app/4026480/Cafe_Business_Manager/</t>
  </si>
  <si>
    <t>A Game About Feeding A Black Hole</t>
  </si>
  <si>
    <r>
      <rPr>
        <u/>
        <sz val="10"/>
        <color rgb="FF1155CC"/>
        <rFont val="Arial"/>
      </rPr>
      <t>Cafe Business Manager</t>
    </r>
  </si>
  <si>
    <t>https://store.steampowered.com/app/4276980/Tiny_Biomes_Cozy_Idle/</t>
  </si>
  <si>
    <t>Game 57</t>
  </si>
  <si>
    <t>https://store.steampowered.com/app/4243690/Chained_Wheels/</t>
  </si>
  <si>
    <r>
      <rPr>
        <u/>
        <sz val="10"/>
        <color rgb="FF1155CC"/>
        <rFont val="Arial"/>
      </rPr>
      <t>Tiny Biomes: Cozy Idle</t>
    </r>
  </si>
  <si>
    <t>Chained Wheels</t>
  </si>
  <si>
    <t>Game 58</t>
  </si>
  <si>
    <t>https://store.steampowered.com/app/3079970/Airport_XRay_Simulator/</t>
  </si>
  <si>
    <t>https://store.steampowered.com/app/3411050/3D_Escape_Room_Detective_Story/</t>
  </si>
  <si>
    <t>Airport X-Ray Simulator</t>
  </si>
  <si>
    <r>
      <rPr>
        <u/>
        <sz val="10"/>
        <color rgb="FF1155CC"/>
        <rFont val="Arial"/>
      </rPr>
      <t>3D Escape Room: Detective Story</t>
    </r>
  </si>
  <si>
    <t>Game 59</t>
  </si>
  <si>
    <t>https://store.steampowered.com/app/1442430/Storage_Hunter_Simulator/</t>
  </si>
  <si>
    <t>https://store.steampowered.com/app/2097030/Union_of_Gnomes/</t>
  </si>
  <si>
    <r>
      <rPr>
        <u/>
        <sz val="10"/>
        <color rgb="FF1155CC"/>
        <rFont val="Arial"/>
      </rPr>
      <t>Storage Hunter Simulator</t>
    </r>
  </si>
  <si>
    <t>Union of Gnomes</t>
  </si>
  <si>
    <t>Game 60</t>
  </si>
  <si>
    <t>https://store.steampowered.com/app/2453920/Amygdala/</t>
  </si>
  <si>
    <t>https://store.steampowered.com/app/4563880/walk/</t>
  </si>
  <si>
    <t>Amygdala</t>
  </si>
  <si>
    <t>walk</t>
  </si>
  <si>
    <t>Game 61</t>
  </si>
  <si>
    <t>https://store.steampowered.com/app/3098140/Crown_and_Adventure/</t>
  </si>
  <si>
    <t>Crown And Adventure</t>
  </si>
  <si>
    <t>https://store.steampowered.com/app/3232040/BodyRecords/</t>
  </si>
  <si>
    <t>Game 62</t>
  </si>
  <si>
    <t>https://store.steampowered.com/app/2928280/Crime_Simulator_Playgrounds/</t>
  </si>
  <si>
    <t>BodyRecords</t>
  </si>
  <si>
    <t>Crime Simulator: Playgrounds</t>
  </si>
  <si>
    <t>Game 63</t>
  </si>
  <si>
    <t>https://store.steampowered.com/app/2844700/Doki_Doki_AI_Interrogation/</t>
  </si>
  <si>
    <t>https://store.steampowered.com/app/3257310/10S_FOREVER/</t>
  </si>
  <si>
    <t>Doki Doki AI Interrogation</t>
  </si>
  <si>
    <t>10S FOREVER</t>
  </si>
  <si>
    <t>Game 64</t>
  </si>
  <si>
    <t>https://store.steampowered.com/app/4746070/Eldara/</t>
  </si>
  <si>
    <t>Eldara</t>
  </si>
  <si>
    <t>https://store.steampowered.com/app/1817500/Abandoned_Archive/</t>
  </si>
  <si>
    <t>Game 65</t>
  </si>
  <si>
    <t>https://store.steampowered.com/app/3751730/Loan_Shark/</t>
  </si>
  <si>
    <r>
      <rPr>
        <u/>
        <sz val="10"/>
        <color rgb="FF1155CC"/>
        <rFont val="Arial"/>
      </rPr>
      <t>Abandoned Archiv</t>
    </r>
    <r>
      <rPr>
        <sz val="10"/>
        <rFont val="Arial"/>
      </rPr>
      <t>e</t>
    </r>
  </si>
  <si>
    <t>Loan Shark</t>
  </si>
  <si>
    <t>Game 66</t>
  </si>
  <si>
    <t>https://store.steampowered.com/app/2871390/Poly_TD/</t>
  </si>
  <si>
    <t>https://store.steampowered.com/app/2085540/Stick_It_to_the_Stickman/</t>
  </si>
  <si>
    <t>Poly TD</t>
  </si>
  <si>
    <t>Stick It to the Stickman</t>
  </si>
  <si>
    <t>Game 67</t>
  </si>
  <si>
    <t>https://store.steampowered.com/app/3119720/Barro_2024/</t>
  </si>
  <si>
    <t>https://store.steampowered.com/app/1812450/Bellwright/</t>
  </si>
  <si>
    <r>
      <rPr>
        <u/>
        <sz val="10"/>
        <color rgb="FF1155CC"/>
        <rFont val="Arial"/>
      </rPr>
      <t>Barro 2024</t>
    </r>
  </si>
  <si>
    <t>Bellwright</t>
  </si>
  <si>
    <t>Game 68</t>
  </si>
  <si>
    <t>https://store.steampowered.com/app/3036010/Coin_Push_RPG/</t>
  </si>
  <si>
    <t>https://store.steampowered.com/app/1805320/Romestead/</t>
  </si>
  <si>
    <t>推币勇者 · Coin Push RPG</t>
  </si>
  <si>
    <r>
      <rPr>
        <u/>
        <sz val="10"/>
        <color rgb="FF1155CC"/>
        <rFont val="Arial"/>
      </rPr>
      <t>Romestea</t>
    </r>
    <r>
      <rPr>
        <sz val="10"/>
        <rFont val="Arial"/>
      </rPr>
      <t>d</t>
    </r>
  </si>
  <si>
    <t>Game 69</t>
  </si>
  <si>
    <t>https://store.steampowered.com/app/2075100/Chernobylite_2_Exclusion_Zone/</t>
  </si>
  <si>
    <r>
      <rPr>
        <u/>
        <sz val="10"/>
        <color rgb="FF1155CC"/>
        <rFont val="Arial"/>
      </rPr>
      <t>https://store.steampowered.com/app/2684370/Dinosaur_World/</t>
    </r>
    <r>
      <rPr>
        <sz val="10"/>
        <color rgb="FF000000"/>
        <rFont val="Arial"/>
        <scheme val="minor"/>
      </rPr>
      <t xml:space="preserve"> </t>
    </r>
  </si>
  <si>
    <r>
      <rPr>
        <u/>
        <sz val="10"/>
        <color rgb="FF1155CC"/>
        <rFont val="Arial"/>
      </rPr>
      <t>Chernobylite 2: Exclusion Zone</t>
    </r>
  </si>
  <si>
    <t>Dinosaur World</t>
  </si>
  <si>
    <t>Game 70</t>
  </si>
  <si>
    <t>https://store.steampowered.com/app/4294620/Life_Inc/</t>
  </si>
  <si>
    <t>https://store.steampowered.com/app/3089130/Retail_Company_Simulator/</t>
  </si>
  <si>
    <t>Life Inc.</t>
  </si>
  <si>
    <r>
      <rPr>
        <u/>
        <sz val="10"/>
        <color rgb="FF1155CC"/>
        <rFont val="Arial"/>
      </rPr>
      <t>Retail Company Simulator</t>
    </r>
  </si>
  <si>
    <t>Game 71</t>
  </si>
  <si>
    <t>https://store.steampowered.com/app/2181950/Zero_Division/</t>
  </si>
  <si>
    <t>Zero Division</t>
  </si>
  <si>
    <t>https://store.steampowered.com/app/2897240/Puffin_Planes/</t>
  </si>
  <si>
    <t>Game 72</t>
  </si>
  <si>
    <t>https://store.steampowered.com/app/3405690/EA_SPORTS_FC_26/</t>
  </si>
  <si>
    <r>
      <rPr>
        <u/>
        <sz val="10"/>
        <color rgb="FF1155CC"/>
        <rFont val="Arial"/>
      </rPr>
      <t>Puffin Planes</t>
    </r>
  </si>
  <si>
    <t>EA SPORTS FC™ 26</t>
  </si>
  <si>
    <t>Game 73</t>
  </si>
  <si>
    <t>https://store.steampowered.com/app/2736020/Fuck_You_Witch/</t>
  </si>
  <si>
    <t>https://store.steampowered.com/app/2289650/Mini_Airways__ATC_simulator/</t>
  </si>
  <si>
    <t>Fuck You Witch</t>
  </si>
  <si>
    <r>
      <rPr>
        <u/>
        <sz val="10"/>
        <color rgb="FF1155CC"/>
        <rFont val="Arial"/>
      </rPr>
      <t>Mini Airways - ATC simulator</t>
    </r>
  </si>
  <si>
    <t>Game 74</t>
  </si>
  <si>
    <t>https://store.steampowered.com/app/3487060/Youtubers_Life_3/</t>
  </si>
  <si>
    <t>https://store.steampowered.com/app/3558400/Backseat_Drivers/</t>
  </si>
  <si>
    <t>Youtubers Life 3</t>
  </si>
  <si>
    <t>Game 75</t>
  </si>
  <si>
    <t>https://store.steampowered.com/app/2738870/Hotel_Business_Simulator/</t>
  </si>
  <si>
    <r>
      <rPr>
        <u/>
        <sz val="10"/>
        <color rgb="FF1155CC"/>
        <rFont val="Arial"/>
      </rPr>
      <t>Backseat Driver</t>
    </r>
    <r>
      <rPr>
        <u/>
        <sz val="10"/>
        <color rgb="FF1155CC"/>
        <rFont val="Arial"/>
      </rPr>
      <t>s</t>
    </r>
  </si>
  <si>
    <t>Hotel Business Simulator</t>
  </si>
  <si>
    <t>Game 76</t>
  </si>
  <si>
    <t>https://store.steampowered.com/app/4019090/HAM_The_Game/</t>
  </si>
  <si>
    <t>https://store.steampowered.com/app/2967320/Grandpa_High_on_Retro/</t>
  </si>
  <si>
    <r>
      <rPr>
        <u/>
        <sz val="10"/>
        <color rgb="FF1155CC"/>
        <rFont val="Arial"/>
      </rPr>
      <t>HAM: The Gam</t>
    </r>
    <r>
      <rPr>
        <sz val="10"/>
        <rFont val="Arial"/>
      </rPr>
      <t>e</t>
    </r>
  </si>
  <si>
    <t>Grandpa High on Retro</t>
  </si>
  <si>
    <t>Game 77</t>
  </si>
  <si>
    <t>https://store.steampowered.com/app/2779570/Archons/</t>
  </si>
  <si>
    <t>https://store.steampowered.com/app/4037180/Go_Ape_Ship/</t>
  </si>
  <si>
    <r>
      <rPr>
        <u/>
        <sz val="10"/>
        <color rgb="FF1155CC"/>
        <rFont val="Arial"/>
      </rPr>
      <t>Archons</t>
    </r>
  </si>
  <si>
    <r>
      <rPr>
        <u/>
        <sz val="10"/>
        <color rgb="FF1155CC"/>
        <rFont val="Arial"/>
      </rPr>
      <t>Go Ape Ship</t>
    </r>
    <r>
      <rPr>
        <sz val="10"/>
        <rFont val="Arial"/>
      </rPr>
      <t>!</t>
    </r>
  </si>
  <si>
    <t>Game 78</t>
  </si>
  <si>
    <t>https://store.steampowered.com/app/2903710/Lost_Lullabies_The_Orphanage_Chronicles/</t>
  </si>
  <si>
    <t>https://store.steampowered.com/app/2918500/Cozy_Island/</t>
  </si>
  <si>
    <t>Lost Lullabies: The Orphanage Chronicles</t>
  </si>
  <si>
    <t>Game 79</t>
  </si>
  <si>
    <r>
      <rPr>
        <u/>
        <sz val="10"/>
        <color rgb="FF1155CC"/>
        <rFont val="Arial"/>
      </rPr>
      <t>Cozy Islan</t>
    </r>
    <r>
      <rPr>
        <sz val="10"/>
        <rFont val="Arial"/>
      </rPr>
      <t>d</t>
    </r>
  </si>
  <si>
    <t>https://store.steampowered.com/app/3013700/Candy__Toys_Store_Simulator/</t>
  </si>
  <si>
    <t>Candy &amp; Toys Store Simulator</t>
  </si>
  <si>
    <t>https://store.steampowered.com/app/1865930/Space_Prison/</t>
  </si>
  <si>
    <t>Game 80</t>
  </si>
  <si>
    <t>https://store.steampowered.com/app/3694590/Haunted_Room__205/</t>
  </si>
  <si>
    <r>
      <rPr>
        <u/>
        <sz val="10"/>
        <color rgb="FF1155CC"/>
        <rFont val="Arial"/>
      </rPr>
      <t>Space Prison</t>
    </r>
  </si>
  <si>
    <r>
      <rPr>
        <u/>
        <sz val="10"/>
        <color rgb="FF1155CC"/>
        <rFont val="Arial"/>
      </rPr>
      <t>Haunted Room : 205</t>
    </r>
  </si>
  <si>
    <t>Game 81</t>
  </si>
  <si>
    <t>https://store.steampowered.com/app/2854710/Chocolate_Factory/</t>
  </si>
  <si>
    <t>https://store.steampowered.com/app/1699230/Hail_to_the_Rainbow/</t>
  </si>
  <si>
    <t>Hail to the Rainbow</t>
  </si>
  <si>
    <r>
      <rPr>
        <u/>
        <sz val="10"/>
        <color rgb="FF1155CC"/>
        <rFont val="Arial"/>
      </rPr>
      <t>Chocolate Factory</t>
    </r>
  </si>
  <si>
    <t>Game 82</t>
  </si>
  <si>
    <t>https://store.steampowered.com/app/3779340/Idle_Reincarnator/</t>
  </si>
  <si>
    <t>https://store.steampowered.com/app/2289390/Crab_God/</t>
  </si>
  <si>
    <t>Idle Reincarnator</t>
  </si>
  <si>
    <t>Game 83</t>
  </si>
  <si>
    <r>
      <rPr>
        <u/>
        <sz val="10"/>
        <color rgb="FF1155CC"/>
        <rFont val="Arial"/>
      </rPr>
      <t>Crab God</t>
    </r>
  </si>
  <si>
    <t>https://store.steampowered.com/app/1278540/Esports_Godfather/</t>
  </si>
  <si>
    <t>Esports Godfather</t>
  </si>
  <si>
    <t>https://store.steampowered.com/app/2162800/shapez_2__Factory/</t>
  </si>
  <si>
    <t>Game 84</t>
  </si>
  <si>
    <t>https://store.steampowered.com/app/3098070/Cinema_Simulator_2025/</t>
  </si>
  <si>
    <r>
      <rPr>
        <u/>
        <sz val="10"/>
        <color rgb="FF1155CC"/>
        <rFont val="Arial"/>
      </rPr>
      <t>shapez 2 - Factory</t>
    </r>
  </si>
  <si>
    <t>Cinema Simulator 2025</t>
  </si>
  <si>
    <t>Game 85</t>
  </si>
  <si>
    <t>https://store.steampowered.com/app/2406370/Darkblade_Ascent/</t>
  </si>
  <si>
    <t>https://store.steampowered.com/app/2078230/Badlands_Crew__Drive_Command_Conquer/</t>
  </si>
  <si>
    <t>Darkblade Ascent</t>
  </si>
  <si>
    <r>
      <rPr>
        <u/>
        <sz val="10"/>
        <color rgb="FF1155CC"/>
        <rFont val="Arial"/>
      </rPr>
      <t>Badlands Crew - Drive, Command, Conquer</t>
    </r>
  </si>
  <si>
    <t>Game 86</t>
  </si>
  <si>
    <t>https://store.steampowered.com/app/4134600/EverRail/</t>
  </si>
  <si>
    <t>EverRail</t>
  </si>
  <si>
    <t>https://store.steampowered.com/app/2949320/Ratatan/</t>
  </si>
  <si>
    <t>Game 87</t>
  </si>
  <si>
    <t>https://store.steampowered.com/app/3604560/Figure_Shop_Simulator/</t>
  </si>
  <si>
    <r>
      <rPr>
        <u/>
        <sz val="10"/>
        <color rgb="FF1155CC"/>
        <rFont val="Arial"/>
      </rPr>
      <t>Ratatan</t>
    </r>
  </si>
  <si>
    <t>Figure Shop Simulator</t>
  </si>
  <si>
    <t>Game 88</t>
  </si>
  <si>
    <t>https://store.steampowered.com/app/4685070/Far_Mining/</t>
  </si>
  <si>
    <t>https://store.steampowered.com/app/3116640/Torque_Drift_2/</t>
  </si>
  <si>
    <t>Far Mining</t>
  </si>
  <si>
    <r>
      <rPr>
        <u/>
        <sz val="10"/>
        <color rgb="FF1155CC"/>
        <rFont val="Arial"/>
      </rPr>
      <t>Torque Drift 2</t>
    </r>
  </si>
  <si>
    <t>Game 89</t>
  </si>
  <si>
    <t>https://store.steampowered.com/app/4249770/Captain_Whiskers_Incremental_Seas/</t>
  </si>
  <si>
    <t>Captain Whiskers: Incremental Seas</t>
  </si>
  <si>
    <t>https://store.steampowered.com/app/3189340/Dungeons_of_Eternity/</t>
  </si>
  <si>
    <t>Game 90</t>
  </si>
  <si>
    <t>https://store.steampowered.com/app/3300800/HER_TREES__PUZZLE_DREAM/</t>
  </si>
  <si>
    <r>
      <rPr>
        <u/>
        <sz val="10"/>
        <color rgb="FF1155CC"/>
        <rFont val="Arial"/>
      </rPr>
      <t>Dungeons of Eternity</t>
    </r>
  </si>
  <si>
    <t>HER TREES : PUZZLE DREAM</t>
  </si>
  <si>
    <t>Game 91</t>
  </si>
  <si>
    <t>https://store.steampowered.com/app/3400650/Creepy_Shift_House_For_Sale/</t>
  </si>
  <si>
    <t>https://store.steampowered.com/app/1221480/Big_Hops_Together/</t>
  </si>
  <si>
    <t>Creepy Shift: House For Sale</t>
  </si>
  <si>
    <r>
      <rPr>
        <u/>
        <sz val="10"/>
        <color rgb="FF1155CC"/>
        <rFont val="Arial"/>
      </rPr>
      <t>Big Hops Togethe</t>
    </r>
    <r>
      <rPr>
        <sz val="10"/>
        <rFont val="Arial"/>
      </rPr>
      <t>r</t>
    </r>
  </si>
  <si>
    <t>Game 92</t>
  </si>
  <si>
    <t>https://store.steampowered.com/app/2998750/Vending_Machine_Business_Simulator/</t>
  </si>
  <si>
    <t>https://store.steampowered.com/app/1466230/The_Holy_Gosh_Darn/</t>
  </si>
  <si>
    <t>Vending Machine Business Simulator</t>
  </si>
  <si>
    <t>Game 93</t>
  </si>
  <si>
    <t>https://store.steampowered.com/app/1771980/The_Operator/</t>
  </si>
  <si>
    <r>
      <rPr>
        <u/>
        <sz val="10"/>
        <color rgb="FF1155CC"/>
        <rFont val="Arial"/>
      </rPr>
      <t>The Holy Gosh Darn</t>
    </r>
  </si>
  <si>
    <t>The Operator</t>
  </si>
  <si>
    <t>Game 94</t>
  </si>
  <si>
    <t>https://store.steampowered.com/app/3626090/Blitzkrieg_Express/</t>
  </si>
  <si>
    <t>https://store.steampowered.com/app/1307960/Quartet/</t>
  </si>
  <si>
    <t>Blitzkrieg Express</t>
  </si>
  <si>
    <t>Game 95</t>
  </si>
  <si>
    <r>
      <rPr>
        <u/>
        <sz val="10"/>
        <color rgb="FF1155CC"/>
        <rFont val="Arial"/>
      </rPr>
      <t>Quartet</t>
    </r>
  </si>
  <si>
    <t>https://store.steampowered.com/app/983870/FOUNDRY/</t>
  </si>
  <si>
    <t>FOUNDRY</t>
  </si>
  <si>
    <t>https://store.steampowered.com/app/1897650/Dream_Tactics/</t>
  </si>
  <si>
    <t>Game 96</t>
  </si>
  <si>
    <t>https://store.steampowered.com/app/3632890/Content_King/</t>
  </si>
  <si>
    <r>
      <rPr>
        <u/>
        <sz val="10"/>
        <color rgb="FF1155CC"/>
        <rFont val="Arial"/>
      </rPr>
      <t>Dream Tactics</t>
    </r>
  </si>
  <si>
    <t>Content King</t>
  </si>
  <si>
    <t>Game 97</t>
  </si>
  <si>
    <t>https://store.steampowered.com/app/2772750/Age_of_History_3/</t>
  </si>
  <si>
    <t>https://store.steampowered.com/app/2288470/Aethermancer/</t>
  </si>
  <si>
    <t>Age of History 3</t>
  </si>
  <si>
    <t>Game 98</t>
  </si>
  <si>
    <r>
      <rPr>
        <u/>
        <sz val="10"/>
        <color rgb="FF1155CC"/>
        <rFont val="Arial"/>
      </rPr>
      <t>Aethermance</t>
    </r>
    <r>
      <rPr>
        <sz val="10"/>
        <rFont val="Arial"/>
      </rPr>
      <t>r</t>
    </r>
  </si>
  <si>
    <t>https://store.steampowered.com/app/3690760/Wild_West_Supermarket_Simulator/</t>
  </si>
  <si>
    <r>
      <rPr>
        <u/>
        <sz val="10"/>
        <color rgb="FF1155CC"/>
        <rFont val="Arial"/>
      </rPr>
      <t>Wild West Supermarket Simulator</t>
    </r>
  </si>
  <si>
    <t>https://store.steampowered.com/app/2934190/Aooni/</t>
  </si>
  <si>
    <t>Game 99</t>
  </si>
  <si>
    <t>Aooni</t>
  </si>
  <si>
    <t>https://store.steampowered.com/app/1575940/Sins_of_a_Solar_Empire_II/</t>
  </si>
  <si>
    <t>Sins of a Solar Empire II</t>
  </si>
  <si>
    <t>Game 100</t>
  </si>
  <si>
    <t>https://store.steampowered.com/app/1811330/Lord_Ambermaze/</t>
  </si>
  <si>
    <t>https://store.steampowered.com/app/3059520/F1_25/</t>
  </si>
  <si>
    <t>Lord Ambermaze</t>
  </si>
  <si>
    <t>F1® 25</t>
  </si>
  <si>
    <t>https://store.steampowered.com/app/3329650/Find_Love_or_Die_Trying_Til_Death_Do_Us_Part/</t>
  </si>
  <si>
    <t>Find Love or Die Trying: Til Death Do Us Part</t>
  </si>
  <si>
    <t>https://store.steampowered.com/app/2828590/The_Haunting_of_Joni_Evers/</t>
  </si>
  <si>
    <r>
      <rPr>
        <u/>
        <sz val="10"/>
        <color rgb="FF1155CC"/>
        <rFont val="Arial"/>
      </rPr>
      <t>The Haunting of Joni Evers</t>
    </r>
  </si>
  <si>
    <t>https://store.steampowered.com/app/1669480/Firefighting_Simulator_Ignite/</t>
  </si>
  <si>
    <r>
      <rPr>
        <u/>
        <sz val="10"/>
        <color rgb="FF1155CC"/>
        <rFont val="Arial"/>
      </rPr>
      <t>Firefighting Simulator: Ignite</t>
    </r>
  </si>
  <si>
    <t>https://store.steampowered.com/app/2399420/Le_Mans_Ultimate/</t>
  </si>
  <si>
    <r>
      <rPr>
        <u/>
        <sz val="10"/>
        <color rgb="FF1155CC"/>
        <rFont val="Arial"/>
      </rPr>
      <t>Le Mans Ultimat</t>
    </r>
    <r>
      <rPr>
        <sz val="10"/>
        <rFont val="Arial"/>
      </rPr>
      <t>e</t>
    </r>
  </si>
  <si>
    <t>https://store.steampowered.com/app/2021880/Ara_History_Untold_Anniversary_Edition/</t>
  </si>
  <si>
    <t>Ara History Untold: Anniversary Edition</t>
  </si>
  <si>
    <t>https://store.steampowered.com/app/1594040/Wreckreation/</t>
  </si>
  <si>
    <r>
      <rPr>
        <u/>
        <sz val="10"/>
        <color rgb="FF1155CC"/>
        <rFont val="Arial"/>
      </rPr>
      <t>Wreckreatio</t>
    </r>
    <r>
      <rPr>
        <sz val="10"/>
        <rFont val="Arial"/>
      </rPr>
      <t>n</t>
    </r>
  </si>
  <si>
    <t>https://store.steampowered.com/app/3402720/Clean_Up_Earth/</t>
  </si>
  <si>
    <t>Clean Up Earth</t>
  </si>
  <si>
    <t>https://store.steampowered.com/app/1416960/Everafter_Falls/</t>
  </si>
  <si>
    <r>
      <rPr>
        <u/>
        <sz val="10"/>
        <color rgb="FF1155CC"/>
        <rFont val="Arial"/>
      </rPr>
      <t>Everafter Falls</t>
    </r>
  </si>
  <si>
    <t>https://store.steampowered.com/app/3164500/Schedule_I/</t>
  </si>
  <si>
    <r>
      <rPr>
        <u/>
        <sz val="10"/>
        <color rgb="FF1155CC"/>
        <rFont val="Arial"/>
      </rPr>
      <t>Schedule I</t>
    </r>
  </si>
  <si>
    <t>https://store.steampowered.com/app/3081840/Chrono_Gear_Warden_of_Time/</t>
  </si>
  <si>
    <t>Chrono Gear: Warden of Time</t>
  </si>
  <si>
    <t>https://store.steampowered.com/app/1308940/Misc_A_Tiny_Tale/</t>
  </si>
  <si>
    <t>Misc. A Tiny Tale</t>
  </si>
  <si>
    <t>https://store.steampowered.com/app/2356560/Monster_Hunter_Stories/</t>
  </si>
  <si>
    <r>
      <rPr>
        <u/>
        <sz val="10"/>
        <color rgb="FF1155CC"/>
        <rFont val="Arial"/>
      </rPr>
      <t>Monster Hunter Storie</t>
    </r>
    <r>
      <rPr>
        <sz val="10"/>
        <rFont val="Arial"/>
      </rPr>
      <t>s</t>
    </r>
  </si>
  <si>
    <t>https://store.steampowered.com/app/1374490/RuneScape_Dragonwilds/</t>
  </si>
  <si>
    <r>
      <rPr>
        <u/>
        <sz val="10"/>
        <color rgb="FF1155CC"/>
        <rFont val="Arial"/>
      </rPr>
      <t>RuneScape: Dragonwilds</t>
    </r>
  </si>
  <si>
    <t>https://store.steampowered.com/app/2865580/Lets_Minesweeper/</t>
  </si>
  <si>
    <t>Let's Minesweeper</t>
  </si>
  <si>
    <t>https://store.steampowered.com/app/2285940/Hollow_Survivors</t>
  </si>
  <si>
    <t>Hollow Survivors</t>
  </si>
  <si>
    <t>https://store.steampowered.com/app/1762930/Goat_Simulator_Remastered/</t>
  </si>
  <si>
    <r>
      <rPr>
        <u/>
        <sz val="10"/>
        <color rgb="FF1155CC"/>
        <rFont val="Arial"/>
      </rPr>
      <t>Goat Simulator: Remastere</t>
    </r>
    <r>
      <rPr>
        <sz val="10"/>
        <rFont val="Arial"/>
      </rPr>
      <t>d</t>
    </r>
  </si>
  <si>
    <t>https://store.steampowered.com/app/3314070/The_Sims_2_Legacy_Collection/</t>
  </si>
  <si>
    <t>The Sims™ 2 Legacy Collection</t>
  </si>
  <si>
    <t>https://store.steampowered.com/app/1588550/Cairn/</t>
  </si>
  <si>
    <r>
      <rPr>
        <u/>
        <sz val="10"/>
        <color rgb="FF1155CC"/>
        <rFont val="Arial"/>
      </rPr>
      <t>Cairn</t>
    </r>
  </si>
  <si>
    <t>3 (Tier Override: Mid substituted for Premium)</t>
  </si>
  <si>
    <t>https://store.steampowered.com/app/4039140/Subway_Builder/</t>
  </si>
  <si>
    <r>
      <rPr>
        <u/>
        <sz val="10"/>
        <color rgb="FF1155CC"/>
        <rFont val="Arial"/>
      </rPr>
      <t>Subway Builder</t>
    </r>
  </si>
  <si>
    <t>https://store.steampowered.com/app/2197680/That_Time_I_Got_Reincarnated_as_a_Slime_ISEKAI_Chronicles/</t>
  </si>
  <si>
    <t>That Time I Got Reincarnated as a Slime ISEKAI Chronicles</t>
  </si>
  <si>
    <t>https://store.steampowered.com/app/2719200/SAMURAI_WARRIORS_4_DX/</t>
  </si>
  <si>
    <t>SAMURAI WARRIORS 4 DX</t>
  </si>
  <si>
    <t>https://store.steampowered.com/app/1658920/Crown_Wars_The_Black_Prince/</t>
  </si>
  <si>
    <t>Crown Wars: The Black Prince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</si>
</sst>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d"/>
  </numFmts>
  <fonts count="66">
    <font>
      <sz val="10"/>
      <color rgb="FF000000"/>
      <name val="Arial"/>
      <scheme val="minor"/>
    </font>
    <font>
      <sz val="10"/>
      <color theme="1"/>
      <name val="Arial"/>
    </font>
    <font>
      <b/>
      <sz val="10"/>
      <color theme="1"/>
      <name val="Arial"/>
    </font>
    <font>
      <sz val="10"/>
      <color rgb="FF1F1F1F"/>
      <name val="&quot;Google Sans Text&quot;"/>
    </font>
    <font>
      <sz val="10"/>
      <color theme="1"/>
      <name val="Arial"/>
      <scheme val="minor"/>
    </font>
    <font>
      <b/>
      <sz val="10"/>
      <color theme="1"/>
      <name val="Arial"/>
      <scheme val="minor"/>
    </font>
    <font>
      <i/>
      <sz val="10"/>
      <color theme="1"/>
      <name val="Arial"/>
    </font>
    <font>
      <u/>
      <sz val="10"/>
      <color rgb="FF0000FF"/>
      <name val="Arial"/>
    </font>
    <font>
      <u/>
      <sz val="10"/>
      <color rgb="FF0000FF"/>
      <name val="Arial"/>
    </font>
    <font>
      <u/>
      <sz val="10"/>
      <color rgb="FF0000FF"/>
      <name val="Arial"/>
    </font>
    <font>
      <b/>
      <sz val="10"/>
      <color theme="1"/>
      <name val="&quot;Google Sans Text&quot;"/>
    </font>
    <font>
      <u/>
      <sz val="10"/>
      <color rgb="FF0000FF"/>
      <name val="Arial"/>
    </font>
    <font>
      <u/>
      <sz val="10"/>
      <color rgb="FF1155CC"/>
      <name val="Arial"/>
    </font>
    <font>
      <sz val="10"/>
      <color theme="1"/>
      <name val="&quot;Google Sans Text&quot;"/>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0000FF"/>
      <name val="Arial"/>
    </font>
    <font>
      <sz val="10"/>
      <name val="Arial"/>
    </font>
  </fonts>
  <fills count="13">
    <fill>
      <patternFill patternType="none"/>
    </fill>
    <fill>
      <patternFill patternType="gray125"/>
    </fill>
    <fill>
      <patternFill patternType="solid">
        <fgColor rgb="FFCFE2F3"/>
        <bgColor rgb="FFCFE2F3"/>
      </patternFill>
    </fill>
    <fill>
      <patternFill patternType="solid">
        <fgColor rgb="FFEAD1DC"/>
        <bgColor rgb="FFEAD1DC"/>
      </patternFill>
    </fill>
    <fill>
      <patternFill patternType="solid">
        <fgColor rgb="FFFFF2CC"/>
        <bgColor rgb="FFFFF2CC"/>
      </patternFill>
    </fill>
    <fill>
      <patternFill patternType="solid">
        <fgColor rgb="FFAFE8FF"/>
        <bgColor rgb="FFAFE8FF"/>
      </patternFill>
    </fill>
    <fill>
      <patternFill patternType="solid">
        <fgColor rgb="FFE6B8AF"/>
        <bgColor rgb="FFE6B8AF"/>
      </patternFill>
    </fill>
    <fill>
      <patternFill patternType="solid">
        <fgColor rgb="FFF4CCCC"/>
        <bgColor rgb="FFF4CCCC"/>
      </patternFill>
    </fill>
    <fill>
      <patternFill patternType="solid">
        <fgColor rgb="FFD9D2E9"/>
        <bgColor rgb="FFD9D2E9"/>
      </patternFill>
    </fill>
    <fill>
      <patternFill patternType="solid">
        <fgColor rgb="FFD9EAD3"/>
        <bgColor rgb="FFD9EAD3"/>
      </patternFill>
    </fill>
    <fill>
      <patternFill patternType="solid">
        <fgColor rgb="FFD0E0E3"/>
        <bgColor rgb="FFD0E0E3"/>
      </patternFill>
    </fill>
    <fill>
      <patternFill patternType="solid">
        <fgColor rgb="FFC6AAFF"/>
        <bgColor rgb="FFC6AAFF"/>
      </patternFill>
    </fill>
    <fill>
      <patternFill patternType="solid">
        <fgColor rgb="FFD2FFE5"/>
        <bgColor rgb="FFD2FFE5"/>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70">
    <xf numFmtId="0" fontId="0" fillId="0" borderId="0" xfId="0"/>
    <xf numFmtId="0" fontId="1" fillId="0" borderId="1" xfId="0" applyFont="1" applyBorder="1"/>
    <xf numFmtId="0" fontId="2" fillId="0" borderId="1" xfId="0" applyFont="1" applyBorder="1"/>
    <xf numFmtId="0" fontId="4" fillId="2" borderId="0" xfId="0" applyFont="1" applyFill="1"/>
    <xf numFmtId="0" fontId="5" fillId="0" borderId="0" xfId="0" applyFont="1"/>
    <xf numFmtId="0" fontId="4" fillId="0" borderId="2" xfId="0" applyFont="1" applyBorder="1"/>
    <xf numFmtId="0" fontId="2" fillId="0" borderId="1" xfId="0" applyFont="1" applyBorder="1" applyAlignment="1">
      <alignment vertical="center" wrapText="1"/>
    </xf>
    <xf numFmtId="0" fontId="6" fillId="0" borderId="1" xfId="0" applyFont="1" applyBorder="1" applyAlignment="1">
      <alignment vertical="center" wrapText="1"/>
    </xf>
    <xf numFmtId="0" fontId="4" fillId="3" borderId="0" xfId="0" applyFont="1" applyFill="1"/>
    <xf numFmtId="0" fontId="1" fillId="0" borderId="1" xfId="0" applyFont="1" applyBorder="1" applyAlignment="1">
      <alignment vertical="center"/>
    </xf>
    <xf numFmtId="0" fontId="6" fillId="0" borderId="3" xfId="0" applyFont="1" applyBorder="1" applyAlignment="1">
      <alignment vertical="center" wrapText="1"/>
    </xf>
    <xf numFmtId="164" fontId="6" fillId="0" borderId="1" xfId="0" applyNumberFormat="1" applyFont="1" applyBorder="1" applyAlignment="1">
      <alignment vertical="center" wrapText="1"/>
    </xf>
    <xf numFmtId="0" fontId="4" fillId="4" borderId="0" xfId="0" applyFont="1" applyFill="1"/>
    <xf numFmtId="2" fontId="6" fillId="0" borderId="1" xfId="0" applyNumberFormat="1" applyFont="1" applyBorder="1" applyAlignment="1">
      <alignment vertical="center" wrapText="1"/>
    </xf>
    <xf numFmtId="0" fontId="4" fillId="0" borderId="2" xfId="0" applyFont="1" applyBorder="1" applyAlignment="1">
      <alignment vertical="center"/>
    </xf>
    <xf numFmtId="0" fontId="4" fillId="0" borderId="0" xfId="0" applyFont="1" applyAlignment="1">
      <alignment vertical="center"/>
    </xf>
    <xf numFmtId="0" fontId="4" fillId="7" borderId="0" xfId="0" applyFont="1" applyFill="1"/>
    <xf numFmtId="0" fontId="1" fillId="2" borderId="0" xfId="0" applyFont="1" applyFill="1"/>
    <xf numFmtId="0" fontId="1" fillId="0" borderId="0" xfId="0" applyFont="1"/>
    <xf numFmtId="0" fontId="7" fillId="2" borderId="0" xfId="0" applyFont="1" applyFill="1"/>
    <xf numFmtId="0" fontId="8" fillId="0" borderId="0" xfId="0" applyFont="1"/>
    <xf numFmtId="0" fontId="9" fillId="2" borderId="5" xfId="0" applyFont="1" applyFill="1" applyBorder="1"/>
    <xf numFmtId="164" fontId="4" fillId="2" borderId="0" xfId="0" applyNumberFormat="1" applyFont="1" applyFill="1"/>
    <xf numFmtId="164" fontId="1" fillId="0" borderId="0" xfId="0" applyNumberFormat="1" applyFont="1"/>
    <xf numFmtId="2" fontId="1" fillId="0" borderId="0" xfId="0" applyNumberFormat="1" applyFont="1"/>
    <xf numFmtId="2" fontId="1" fillId="3" borderId="0" xfId="0" applyNumberFormat="1" applyFont="1" applyFill="1"/>
    <xf numFmtId="0" fontId="4" fillId="9" borderId="0" xfId="0" applyFont="1" applyFill="1"/>
    <xf numFmtId="0" fontId="4" fillId="2" borderId="6" xfId="0" applyFont="1" applyFill="1" applyBorder="1"/>
    <xf numFmtId="0" fontId="10" fillId="0" borderId="0" xfId="0" applyFont="1"/>
    <xf numFmtId="0" fontId="11" fillId="2" borderId="0" xfId="0" applyFont="1" applyFill="1"/>
    <xf numFmtId="0" fontId="12" fillId="0" borderId="0" xfId="0" applyFont="1"/>
    <xf numFmtId="0" fontId="1" fillId="2" borderId="6" xfId="0" applyFont="1" applyFill="1" applyBorder="1"/>
    <xf numFmtId="0" fontId="13" fillId="0" borderId="0" xfId="0" applyFont="1"/>
    <xf numFmtId="0" fontId="14" fillId="0" borderId="0" xfId="0" applyFont="1"/>
    <xf numFmtId="0" fontId="15" fillId="0" borderId="0" xfId="0" applyFont="1"/>
    <xf numFmtId="0" fontId="16" fillId="2" borderId="0" xfId="0" applyFont="1" applyFill="1"/>
    <xf numFmtId="0" fontId="3" fillId="0" borderId="0" xfId="0" applyFont="1"/>
    <xf numFmtId="164" fontId="4" fillId="3" borderId="0" xfId="0" applyNumberFormat="1" applyFont="1" applyFill="1"/>
    <xf numFmtId="0" fontId="17" fillId="2" borderId="0" xfId="0" applyFont="1" applyFill="1"/>
    <xf numFmtId="0" fontId="18" fillId="2" borderId="0" xfId="0" applyFont="1" applyFill="1"/>
    <xf numFmtId="0" fontId="4" fillId="0" borderId="0" xfId="0" applyFont="1"/>
    <xf numFmtId="165" fontId="4" fillId="3" borderId="0" xfId="0" applyNumberFormat="1" applyFont="1" applyFill="1"/>
    <xf numFmtId="164" fontId="1" fillId="2" borderId="0" xfId="0" applyNumberFormat="1" applyFont="1" applyFill="1"/>
    <xf numFmtId="2" fontId="1" fillId="2" borderId="0" xfId="0" applyNumberFormat="1" applyFont="1" applyFill="1"/>
    <xf numFmtId="0" fontId="19" fillId="0" borderId="0" xfId="0" applyFont="1"/>
    <xf numFmtId="0" fontId="1" fillId="3" borderId="0" xfId="0" applyFont="1" applyFill="1"/>
    <xf numFmtId="0" fontId="20" fillId="3" borderId="0" xfId="0" applyFont="1" applyFill="1"/>
    <xf numFmtId="0" fontId="21" fillId="3" borderId="0" xfId="0" applyFont="1" applyFill="1"/>
    <xf numFmtId="164" fontId="1" fillId="3" borderId="0" xfId="0" applyNumberFormat="1" applyFont="1" applyFill="1"/>
    <xf numFmtId="0" fontId="1" fillId="3" borderId="6" xfId="0" applyFont="1" applyFill="1" applyBorder="1"/>
    <xf numFmtId="0" fontId="22" fillId="3" borderId="0" xfId="0" applyFont="1" applyFill="1"/>
    <xf numFmtId="0" fontId="23" fillId="3" borderId="0" xfId="0" applyFont="1" applyFill="1"/>
    <xf numFmtId="0" fontId="24" fillId="3" borderId="0" xfId="0" applyFont="1" applyFill="1"/>
    <xf numFmtId="0" fontId="25" fillId="0" borderId="0" xfId="0" applyFont="1"/>
    <xf numFmtId="0" fontId="4" fillId="3" borderId="6" xfId="0" applyFont="1" applyFill="1" applyBorder="1"/>
    <xf numFmtId="0" fontId="26" fillId="0" borderId="0" xfId="0" applyFont="1"/>
    <xf numFmtId="0" fontId="1" fillId="4" borderId="0" xfId="0" applyFont="1" applyFill="1"/>
    <xf numFmtId="0" fontId="27" fillId="4" borderId="0" xfId="0" applyFont="1" applyFill="1"/>
    <xf numFmtId="0" fontId="28" fillId="4" borderId="0" xfId="0" applyFont="1" applyFill="1"/>
    <xf numFmtId="164" fontId="1" fillId="4" borderId="0" xfId="0" applyNumberFormat="1" applyFont="1" applyFill="1"/>
    <xf numFmtId="2" fontId="1" fillId="4" borderId="0" xfId="0" applyNumberFormat="1" applyFont="1" applyFill="1"/>
    <xf numFmtId="0" fontId="1" fillId="4" borderId="6" xfId="0" applyFont="1" applyFill="1" applyBorder="1"/>
    <xf numFmtId="0" fontId="29" fillId="4" borderId="0" xfId="0" applyFont="1" applyFill="1"/>
    <xf numFmtId="0" fontId="30" fillId="4" borderId="0" xfId="0" applyFont="1" applyFill="1"/>
    <xf numFmtId="0" fontId="31" fillId="0" borderId="0" xfId="0" applyFont="1"/>
    <xf numFmtId="164" fontId="1" fillId="0" borderId="0" xfId="0" applyNumberFormat="1" applyFont="1" applyAlignment="1">
      <alignment horizontal="right"/>
    </xf>
    <xf numFmtId="0" fontId="1" fillId="0" borderId="0" xfId="0" applyFont="1" applyAlignment="1">
      <alignment horizontal="right"/>
    </xf>
    <xf numFmtId="2" fontId="1" fillId="0" borderId="0" xfId="0" applyNumberFormat="1" applyFont="1" applyAlignment="1">
      <alignment horizontal="right"/>
    </xf>
    <xf numFmtId="164" fontId="1" fillId="3" borderId="0" xfId="0" applyNumberFormat="1" applyFont="1" applyFill="1" applyAlignment="1">
      <alignment horizontal="right"/>
    </xf>
    <xf numFmtId="0" fontId="1" fillId="3" borderId="0" xfId="0" applyFont="1" applyFill="1" applyAlignment="1">
      <alignment horizontal="right"/>
    </xf>
    <xf numFmtId="2" fontId="1" fillId="3" borderId="0" xfId="0" applyNumberFormat="1" applyFont="1" applyFill="1" applyAlignment="1">
      <alignment horizontal="right"/>
    </xf>
    <xf numFmtId="164" fontId="4" fillId="4" borderId="0" xfId="0" applyNumberFormat="1" applyFont="1" applyFill="1"/>
    <xf numFmtId="0" fontId="1" fillId="9" borderId="0" xfId="0" applyFont="1" applyFill="1" applyAlignment="1">
      <alignment horizontal="right"/>
    </xf>
    <xf numFmtId="0" fontId="4" fillId="4" borderId="6" xfId="0" applyFont="1" applyFill="1" applyBorder="1"/>
    <xf numFmtId="0" fontId="1" fillId="5" borderId="0" xfId="0" applyFont="1" applyFill="1"/>
    <xf numFmtId="0" fontId="32" fillId="5" borderId="0" xfId="0" applyFont="1" applyFill="1"/>
    <xf numFmtId="0" fontId="33" fillId="5" borderId="0" xfId="0" applyFont="1" applyFill="1"/>
    <xf numFmtId="164" fontId="1" fillId="5" borderId="0" xfId="0" applyNumberFormat="1" applyFont="1" applyFill="1"/>
    <xf numFmtId="2" fontId="1" fillId="5" borderId="0" xfId="0" applyNumberFormat="1" applyFont="1" applyFill="1"/>
    <xf numFmtId="0" fontId="1" fillId="5" borderId="6" xfId="0" applyFont="1" applyFill="1" applyBorder="1"/>
    <xf numFmtId="2" fontId="1" fillId="5" borderId="0" xfId="0" applyNumberFormat="1" applyFont="1" applyFill="1" applyAlignment="1">
      <alignment horizontal="right"/>
    </xf>
    <xf numFmtId="0" fontId="34" fillId="5" borderId="0" xfId="0" applyFont="1" applyFill="1"/>
    <xf numFmtId="0" fontId="4" fillId="5" borderId="0" xfId="0" applyFont="1" applyFill="1"/>
    <xf numFmtId="0" fontId="35" fillId="5" borderId="0" xfId="0" applyFont="1" applyFill="1"/>
    <xf numFmtId="2" fontId="4" fillId="3" borderId="0" xfId="0" applyNumberFormat="1" applyFont="1" applyFill="1"/>
    <xf numFmtId="164" fontId="4" fillId="5" borderId="0" xfId="0" applyNumberFormat="1" applyFont="1" applyFill="1"/>
    <xf numFmtId="0" fontId="4" fillId="5" borderId="6" xfId="0" applyFont="1" applyFill="1" applyBorder="1"/>
    <xf numFmtId="0" fontId="1" fillId="7" borderId="0" xfId="0" applyFont="1" applyFill="1"/>
    <xf numFmtId="0" fontId="36" fillId="7" borderId="0" xfId="0" applyFont="1" applyFill="1"/>
    <xf numFmtId="0" fontId="37" fillId="7" borderId="0" xfId="0" applyFont="1" applyFill="1"/>
    <xf numFmtId="164" fontId="1" fillId="7" borderId="0" xfId="0" applyNumberFormat="1" applyFont="1" applyFill="1"/>
    <xf numFmtId="2" fontId="1" fillId="7" borderId="0" xfId="0" applyNumberFormat="1" applyFont="1" applyFill="1"/>
    <xf numFmtId="0" fontId="1" fillId="7" borderId="6" xfId="0" applyFont="1" applyFill="1" applyBorder="1"/>
    <xf numFmtId="0" fontId="38" fillId="7" borderId="0" xfId="0" applyFont="1" applyFill="1"/>
    <xf numFmtId="164" fontId="1" fillId="7" borderId="0" xfId="0" applyNumberFormat="1" applyFont="1" applyFill="1" applyAlignment="1">
      <alignment horizontal="right"/>
    </xf>
    <xf numFmtId="0" fontId="39" fillId="7" borderId="0" xfId="0" applyFont="1" applyFill="1"/>
    <xf numFmtId="164" fontId="4" fillId="7" borderId="0" xfId="0" applyNumberFormat="1" applyFont="1" applyFill="1"/>
    <xf numFmtId="0" fontId="4" fillId="7" borderId="6" xfId="0" applyFont="1" applyFill="1" applyBorder="1"/>
    <xf numFmtId="0" fontId="1" fillId="6" borderId="0" xfId="0" applyFont="1" applyFill="1"/>
    <xf numFmtId="0" fontId="40" fillId="6" borderId="0" xfId="0" applyFont="1" applyFill="1"/>
    <xf numFmtId="0" fontId="41" fillId="6" borderId="0" xfId="0" applyFont="1" applyFill="1"/>
    <xf numFmtId="164" fontId="1" fillId="6" borderId="0" xfId="0" applyNumberFormat="1" applyFont="1" applyFill="1"/>
    <xf numFmtId="2" fontId="1" fillId="6" borderId="0" xfId="0" applyNumberFormat="1" applyFont="1" applyFill="1"/>
    <xf numFmtId="0" fontId="1" fillId="6" borderId="6" xfId="0" applyFont="1" applyFill="1" applyBorder="1"/>
    <xf numFmtId="0" fontId="1" fillId="8" borderId="0" xfId="0" applyFont="1" applyFill="1"/>
    <xf numFmtId="0" fontId="42" fillId="8" borderId="0" xfId="0" applyFont="1" applyFill="1"/>
    <xf numFmtId="0" fontId="43" fillId="8" borderId="0" xfId="0" applyFont="1" applyFill="1"/>
    <xf numFmtId="164" fontId="1" fillId="8" borderId="0" xfId="0" applyNumberFormat="1" applyFont="1" applyFill="1"/>
    <xf numFmtId="2" fontId="1" fillId="8" borderId="0" xfId="0" applyNumberFormat="1" applyFont="1" applyFill="1"/>
    <xf numFmtId="0" fontId="1" fillId="8" borderId="6" xfId="0" applyFont="1" applyFill="1" applyBorder="1"/>
    <xf numFmtId="0" fontId="44" fillId="8" borderId="0" xfId="0" applyFont="1" applyFill="1"/>
    <xf numFmtId="0" fontId="1" fillId="9" borderId="0" xfId="0" applyFont="1" applyFill="1"/>
    <xf numFmtId="0" fontId="45" fillId="9" borderId="0" xfId="0" applyFont="1" applyFill="1"/>
    <xf numFmtId="0" fontId="46" fillId="9" borderId="0" xfId="0" applyFont="1" applyFill="1"/>
    <xf numFmtId="164" fontId="1" fillId="9" borderId="0" xfId="0" applyNumberFormat="1" applyFont="1" applyFill="1"/>
    <xf numFmtId="2" fontId="1" fillId="9" borderId="0" xfId="0" applyNumberFormat="1" applyFont="1" applyFill="1"/>
    <xf numFmtId="0" fontId="1" fillId="9" borderId="6" xfId="0" applyFont="1" applyFill="1" applyBorder="1"/>
    <xf numFmtId="0" fontId="47" fillId="9" borderId="0" xfId="0" applyFont="1" applyFill="1"/>
    <xf numFmtId="2" fontId="1" fillId="9" borderId="0" xfId="0" applyNumberFormat="1" applyFont="1" applyFill="1" applyAlignment="1">
      <alignment horizontal="right"/>
    </xf>
    <xf numFmtId="0" fontId="1" fillId="10" borderId="0" xfId="0" applyFont="1" applyFill="1"/>
    <xf numFmtId="0" fontId="48" fillId="10" borderId="0" xfId="0" applyFont="1" applyFill="1"/>
    <xf numFmtId="0" fontId="49" fillId="10" borderId="0" xfId="0" applyFont="1" applyFill="1"/>
    <xf numFmtId="164" fontId="1" fillId="10" borderId="0" xfId="0" applyNumberFormat="1" applyFont="1" applyFill="1"/>
    <xf numFmtId="2" fontId="1" fillId="10" borderId="0" xfId="0" applyNumberFormat="1" applyFont="1" applyFill="1"/>
    <xf numFmtId="0" fontId="1" fillId="10" borderId="6" xfId="0" applyFont="1" applyFill="1" applyBorder="1"/>
    <xf numFmtId="0" fontId="50" fillId="10" borderId="0" xfId="0" applyFont="1" applyFill="1"/>
    <xf numFmtId="0" fontId="51" fillId="10" borderId="0" xfId="0" applyFont="1" applyFill="1"/>
    <xf numFmtId="0" fontId="52" fillId="3" borderId="0" xfId="0" applyFont="1" applyFill="1"/>
    <xf numFmtId="2" fontId="1" fillId="10" borderId="0" xfId="0" applyNumberFormat="1" applyFont="1" applyFill="1" applyAlignment="1">
      <alignment horizontal="right"/>
    </xf>
    <xf numFmtId="0" fontId="53" fillId="6" borderId="0" xfId="0" applyFont="1" applyFill="1"/>
    <xf numFmtId="0" fontId="1" fillId="11" borderId="0" xfId="0" applyFont="1" applyFill="1"/>
    <xf numFmtId="0" fontId="54" fillId="11" borderId="0" xfId="0" applyFont="1" applyFill="1"/>
    <xf numFmtId="0" fontId="55" fillId="11" borderId="0" xfId="0" applyFont="1" applyFill="1"/>
    <xf numFmtId="164" fontId="1" fillId="11" borderId="0" xfId="0" applyNumberFormat="1" applyFont="1" applyFill="1"/>
    <xf numFmtId="2" fontId="1" fillId="11" borderId="0" xfId="0" applyNumberFormat="1" applyFont="1" applyFill="1"/>
    <xf numFmtId="0" fontId="1" fillId="11" borderId="6" xfId="0" applyFont="1" applyFill="1" applyBorder="1"/>
    <xf numFmtId="0" fontId="4" fillId="11" borderId="0" xfId="0" applyFont="1" applyFill="1"/>
    <xf numFmtId="0" fontId="56" fillId="11" borderId="0" xfId="0" applyFont="1" applyFill="1"/>
    <xf numFmtId="164" fontId="4" fillId="11" borderId="0" xfId="0" applyNumberFormat="1" applyFont="1" applyFill="1"/>
    <xf numFmtId="0" fontId="4" fillId="11" borderId="6" xfId="0" applyFont="1" applyFill="1" applyBorder="1"/>
    <xf numFmtId="0" fontId="1" fillId="12" borderId="0" xfId="0" applyFont="1" applyFill="1"/>
    <xf numFmtId="0" fontId="57" fillId="12" borderId="0" xfId="0" applyFont="1" applyFill="1"/>
    <xf numFmtId="164" fontId="1" fillId="12" borderId="0" xfId="0" applyNumberFormat="1" applyFont="1" applyFill="1"/>
    <xf numFmtId="2" fontId="1" fillId="12" borderId="0" xfId="0" applyNumberFormat="1" applyFont="1" applyFill="1"/>
    <xf numFmtId="0" fontId="1" fillId="12" borderId="6" xfId="0" applyFont="1" applyFill="1" applyBorder="1"/>
    <xf numFmtId="0" fontId="4" fillId="12" borderId="0" xfId="0" applyFont="1" applyFill="1"/>
    <xf numFmtId="0" fontId="58" fillId="12" borderId="0" xfId="0" applyFont="1" applyFill="1"/>
    <xf numFmtId="0" fontId="59" fillId="12" borderId="0" xfId="0" applyFont="1" applyFill="1"/>
    <xf numFmtId="164" fontId="4" fillId="12" borderId="0" xfId="0" applyNumberFormat="1" applyFont="1" applyFill="1"/>
    <xf numFmtId="0" fontId="4" fillId="12" borderId="6" xfId="0" applyFont="1" applyFill="1" applyBorder="1"/>
    <xf numFmtId="0" fontId="60" fillId="12" borderId="0" xfId="0" applyFont="1" applyFill="1"/>
    <xf numFmtId="0" fontId="61" fillId="12" borderId="0" xfId="0" applyFont="1" applyFill="1"/>
    <xf numFmtId="164" fontId="1" fillId="12" borderId="0" xfId="0" applyNumberFormat="1" applyFont="1" applyFill="1" applyAlignment="1">
      <alignment horizontal="right"/>
    </xf>
    <xf numFmtId="0" fontId="1" fillId="12" borderId="0" xfId="0" applyFont="1" applyFill="1" applyAlignment="1">
      <alignment horizontal="right"/>
    </xf>
    <xf numFmtId="2" fontId="1" fillId="12" borderId="0" xfId="0" applyNumberFormat="1" applyFont="1" applyFill="1" applyAlignment="1">
      <alignment horizontal="right"/>
    </xf>
    <xf numFmtId="0" fontId="1" fillId="12" borderId="6" xfId="0" applyFont="1" applyFill="1" applyBorder="1" applyAlignment="1">
      <alignment horizontal="right"/>
    </xf>
    <xf numFmtId="0" fontId="2" fillId="0" borderId="3" xfId="0" applyFont="1" applyBorder="1"/>
    <xf numFmtId="0" fontId="62" fillId="12" borderId="0" xfId="0" applyFont="1" applyFill="1"/>
    <xf numFmtId="0" fontId="1" fillId="0" borderId="2" xfId="0" applyFont="1" applyBorder="1"/>
    <xf numFmtId="0" fontId="2" fillId="0" borderId="6" xfId="0" applyFont="1" applyBorder="1"/>
    <xf numFmtId="0" fontId="2" fillId="0" borderId="4" xfId="0" applyFont="1" applyBorder="1"/>
    <xf numFmtId="0" fontId="1" fillId="12" borderId="7" xfId="0" applyFont="1" applyFill="1" applyBorder="1"/>
    <xf numFmtId="0" fontId="63" fillId="12" borderId="7" xfId="0" applyFont="1" applyFill="1" applyBorder="1"/>
    <xf numFmtId="0" fontId="64" fillId="12" borderId="7" xfId="0" applyFont="1" applyFill="1" applyBorder="1"/>
    <xf numFmtId="164" fontId="1" fillId="12" borderId="7" xfId="0" applyNumberFormat="1" applyFont="1" applyFill="1" applyBorder="1"/>
    <xf numFmtId="2" fontId="1" fillId="12" borderId="7" xfId="0" applyNumberFormat="1" applyFont="1" applyFill="1" applyBorder="1"/>
    <xf numFmtId="0" fontId="4" fillId="3" borderId="7" xfId="0" applyFont="1" applyFill="1" applyBorder="1"/>
    <xf numFmtId="0" fontId="4" fillId="9" borderId="7" xfId="0" applyFont="1" applyFill="1" applyBorder="1"/>
    <xf numFmtId="0" fontId="1" fillId="12" borderId="8" xfId="0" applyFont="1" applyFill="1" applyBorder="1"/>
    <xf numFmtId="16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tore.steampowered.com/app/2017480/Elengard_Ascension/" TargetMode="External"/><Relationship Id="rId21" Type="http://schemas.openxmlformats.org/officeDocument/2006/relationships/hyperlink" Target="https://store.steampowered.com/app/2726370/Suck_Up/" TargetMode="External"/><Relationship Id="rId42" Type="http://schemas.openxmlformats.org/officeDocument/2006/relationships/hyperlink" Target="https://store.steampowered.com/app/3919360/Dig_Island/" TargetMode="External"/><Relationship Id="rId47" Type="http://schemas.openxmlformats.org/officeDocument/2006/relationships/hyperlink" Target="https://store.steampowered.com/app/2215410/Anime_City/" TargetMode="External"/><Relationship Id="rId63" Type="http://schemas.openxmlformats.org/officeDocument/2006/relationships/hyperlink" Target="https://store.steampowered.com/app/4243690/Chained_Wheels/" TargetMode="External"/><Relationship Id="rId68" Type="http://schemas.openxmlformats.org/officeDocument/2006/relationships/hyperlink" Target="https://store.steampowered.com/app/3098140/Crown_and_Adventure/" TargetMode="External"/><Relationship Id="rId84" Type="http://schemas.openxmlformats.org/officeDocument/2006/relationships/hyperlink" Target="https://store.steampowered.com/app/3487060/Youtubers_Life_3/" TargetMode="External"/><Relationship Id="rId89" Type="http://schemas.openxmlformats.org/officeDocument/2006/relationships/hyperlink" Target="https://store.steampowered.com/app/2903710/Lost_Lullabies_The_Orphanage_Chronicles/" TargetMode="External"/><Relationship Id="rId112" Type="http://schemas.openxmlformats.org/officeDocument/2006/relationships/hyperlink" Target="https://store.steampowered.com/app/1575940/Sins_of_a_Solar_Empire_II/" TargetMode="External"/><Relationship Id="rId16" Type="http://schemas.openxmlformats.org/officeDocument/2006/relationships/hyperlink" Target="https://store.steampowered.com/app/3440120/_Knights_of_the_Crusades/" TargetMode="External"/><Relationship Id="rId107" Type="http://schemas.openxmlformats.org/officeDocument/2006/relationships/hyperlink" Target="https://store.steampowered.com/app/983870/FOUNDRY/" TargetMode="External"/><Relationship Id="rId11" Type="http://schemas.openxmlformats.org/officeDocument/2006/relationships/hyperlink" Target="https://store.steampowered.com/app/2576150/LET_IT_DIE_INFERNO/" TargetMode="External"/><Relationship Id="rId32" Type="http://schemas.openxmlformats.org/officeDocument/2006/relationships/hyperlink" Target="https://store.steampowered.com/app/3972650/Backpack_Jianghu/" TargetMode="External"/><Relationship Id="rId37" Type="http://schemas.openxmlformats.org/officeDocument/2006/relationships/hyperlink" Target="https://store.steampowered.com/app/3528280/Crime_Detective_Red_Flags/" TargetMode="External"/><Relationship Id="rId53" Type="http://schemas.openxmlformats.org/officeDocument/2006/relationships/hyperlink" Target="https://store.steampowered.com/app/3237570/delivery_pals/" TargetMode="External"/><Relationship Id="rId58" Type="http://schemas.openxmlformats.org/officeDocument/2006/relationships/hyperlink" Target="https://store.steampowered.com/app/3355800/Bank_Simulator/" TargetMode="External"/><Relationship Id="rId74" Type="http://schemas.openxmlformats.org/officeDocument/2006/relationships/hyperlink" Target="https://steamdb.info/app/2871390/" TargetMode="External"/><Relationship Id="rId79" Type="http://schemas.openxmlformats.org/officeDocument/2006/relationships/hyperlink" Target="https://steamdb.info/app/2075100/" TargetMode="External"/><Relationship Id="rId102" Type="http://schemas.openxmlformats.org/officeDocument/2006/relationships/hyperlink" Target="https://store.steampowered.com/app/3300800/HER_TREES__PUZZLE_DREAM/" TargetMode="External"/><Relationship Id="rId5" Type="http://schemas.openxmlformats.org/officeDocument/2006/relationships/hyperlink" Target="https://steamdb.info/app/3408110/" TargetMode="External"/><Relationship Id="rId90" Type="http://schemas.openxmlformats.org/officeDocument/2006/relationships/hyperlink" Target="https://store.steampowered.com/app/3013700/Candy__Toys_Store_Simulator/" TargetMode="External"/><Relationship Id="rId95" Type="http://schemas.openxmlformats.org/officeDocument/2006/relationships/hyperlink" Target="https://store.steampowered.com/app/1278540/Esports_Godfather/" TargetMode="External"/><Relationship Id="rId22" Type="http://schemas.openxmlformats.org/officeDocument/2006/relationships/hyperlink" Target="https://store.steampowered.com/app/3573430/Cargo_Simulator/" TargetMode="External"/><Relationship Id="rId27" Type="http://schemas.openxmlformats.org/officeDocument/2006/relationships/hyperlink" Target="https://store.steampowered.com/app/2393970/Human_Host/" TargetMode="External"/><Relationship Id="rId43" Type="http://schemas.openxmlformats.org/officeDocument/2006/relationships/hyperlink" Target="https://store.steampowered.com/app/3266090/IT_Specialist_Simulator/" TargetMode="External"/><Relationship Id="rId48" Type="http://schemas.openxmlformats.org/officeDocument/2006/relationships/hyperlink" Target="https://store.steampowered.com/app/3073580/Aquatic_Store_Simulator/" TargetMode="External"/><Relationship Id="rId64" Type="http://schemas.openxmlformats.org/officeDocument/2006/relationships/hyperlink" Target="https://store.steampowered.com/app/3079970/Airport_XRay_Simulator/" TargetMode="External"/><Relationship Id="rId69" Type="http://schemas.openxmlformats.org/officeDocument/2006/relationships/hyperlink" Target="https://store.steampowered.com/app/2928280/Crime_Simulator_Playgrounds/" TargetMode="External"/><Relationship Id="rId113" Type="http://schemas.openxmlformats.org/officeDocument/2006/relationships/hyperlink" Target="https://store.steampowered.com/app/3059520/F1_25/" TargetMode="External"/><Relationship Id="rId80" Type="http://schemas.openxmlformats.org/officeDocument/2006/relationships/hyperlink" Target="https://store.steampowered.com/app/4294620/Life_Inc/" TargetMode="External"/><Relationship Id="rId85" Type="http://schemas.openxmlformats.org/officeDocument/2006/relationships/hyperlink" Target="https://store.steampowered.com/app/2738870/Hotel_Business_Simulator/" TargetMode="External"/><Relationship Id="rId12" Type="http://schemas.openxmlformats.org/officeDocument/2006/relationships/hyperlink" Target="https://store.steampowered.com/app/3444080/Bakery_Cafe_Simulator/" TargetMode="External"/><Relationship Id="rId17" Type="http://schemas.openxmlformats.org/officeDocument/2006/relationships/hyperlink" Target="https://store.steampowered.com/app/3809110/Japan_Stigmatized_Property/" TargetMode="External"/><Relationship Id="rId33" Type="http://schemas.openxmlformats.org/officeDocument/2006/relationships/hyperlink" Target="https://store.steampowered.com/app/3928990/Food_Processing_Simulator/" TargetMode="External"/><Relationship Id="rId38" Type="http://schemas.openxmlformats.org/officeDocument/2006/relationships/hyperlink" Target="https://store.steampowered.com/app/4032350/EA_SPORTS_College_Football_27/" TargetMode="External"/><Relationship Id="rId59" Type="http://schemas.openxmlformats.org/officeDocument/2006/relationships/hyperlink" Target="https://store.steampowered.com/app/3098470/Arctic_Motel_Simulator/" TargetMode="External"/><Relationship Id="rId103" Type="http://schemas.openxmlformats.org/officeDocument/2006/relationships/hyperlink" Target="https://store.steampowered.com/app/3400650/Creepy_Shift_House_For_Sale/" TargetMode="External"/><Relationship Id="rId108" Type="http://schemas.openxmlformats.org/officeDocument/2006/relationships/hyperlink" Target="https://store.steampowered.com/app/3632890/Content_King/" TargetMode="External"/><Relationship Id="rId54" Type="http://schemas.openxmlformats.org/officeDocument/2006/relationships/hyperlink" Target="https://store.steampowered.com/app/2425150/King_of_Retail_2/" TargetMode="External"/><Relationship Id="rId70" Type="http://schemas.openxmlformats.org/officeDocument/2006/relationships/hyperlink" Target="https://store.steampowered.com/app/2844700/Doki_Doki_AI_Interrogation/" TargetMode="External"/><Relationship Id="rId75" Type="http://schemas.openxmlformats.org/officeDocument/2006/relationships/hyperlink" Target="https://store.steampowered.com/app/1812450/Bellwright/" TargetMode="External"/><Relationship Id="rId91" Type="http://schemas.openxmlformats.org/officeDocument/2006/relationships/hyperlink" Target="https://store.steampowered.com/app/3694590/Haunted_Room__205/" TargetMode="External"/><Relationship Id="rId96" Type="http://schemas.openxmlformats.org/officeDocument/2006/relationships/hyperlink" Target="https://store.steampowered.com/app/3098070/Cinema_Simulator_2025/" TargetMode="External"/><Relationship Id="rId1" Type="http://schemas.openxmlformats.org/officeDocument/2006/relationships/hyperlink" Target="https://store.steampowered.com/app/4551040/Animal_Company/" TargetMode="External"/><Relationship Id="rId6" Type="http://schemas.openxmlformats.org/officeDocument/2006/relationships/hyperlink" Target="https://store.steampowered.com/app/3177970/Bioweaver/" TargetMode="External"/><Relationship Id="rId15" Type="http://schemas.openxmlformats.org/officeDocument/2006/relationships/hyperlink" Target="https://steamdb.info/app/3163790/" TargetMode="External"/><Relationship Id="rId23" Type="http://schemas.openxmlformats.org/officeDocument/2006/relationships/hyperlink" Target="https://store.steampowered.com/app/990380/METAL_EDEN/" TargetMode="External"/><Relationship Id="rId28" Type="http://schemas.openxmlformats.org/officeDocument/2006/relationships/hyperlink" Target="https://store.steampowered.com/app/3633250/Junji_Ito_Maniac_An_Infinite_Gaol/" TargetMode="External"/><Relationship Id="rId36" Type="http://schemas.openxmlformats.org/officeDocument/2006/relationships/hyperlink" Target="https://store.steampowered.com/app/3772080/blis3Phenomena/" TargetMode="External"/><Relationship Id="rId49" Type="http://schemas.openxmlformats.org/officeDocument/2006/relationships/hyperlink" Target="https://store.steampowered.com/app/2923390/Clothing_Store_Simulator/" TargetMode="External"/><Relationship Id="rId57" Type="http://schemas.openxmlformats.org/officeDocument/2006/relationships/hyperlink" Target="https://store.steampowered.com/app/1842470/DeathOmen/" TargetMode="External"/><Relationship Id="rId106" Type="http://schemas.openxmlformats.org/officeDocument/2006/relationships/hyperlink" Target="https://store.steampowered.com/app/3626090/Blitzkrieg_Express/" TargetMode="External"/><Relationship Id="rId10" Type="http://schemas.openxmlformats.org/officeDocument/2006/relationships/hyperlink" Target="https://store.steampowered.com/app/3498390/Astroloot/" TargetMode="External"/><Relationship Id="rId31" Type="http://schemas.openxmlformats.org/officeDocument/2006/relationships/hyperlink" Target="https://store.steampowered.com/app/2445980/GRebels/" TargetMode="External"/><Relationship Id="rId44" Type="http://schemas.openxmlformats.org/officeDocument/2006/relationships/hyperlink" Target="https://store.steampowered.com/app/2959610/Cabin_Crew_Life_Simulator/" TargetMode="External"/><Relationship Id="rId52" Type="http://schemas.openxmlformats.org/officeDocument/2006/relationships/hyperlink" Target="https://store.steampowered.com/app/4384550/Call_of_Duty_Black_Ops_6/" TargetMode="External"/><Relationship Id="rId60" Type="http://schemas.openxmlformats.org/officeDocument/2006/relationships/hyperlink" Target="https://store.steampowered.com/app/2786550/CURE__A_Hospital_Simulator/" TargetMode="External"/><Relationship Id="rId65" Type="http://schemas.openxmlformats.org/officeDocument/2006/relationships/hyperlink" Target="https://store.steampowered.com/app/1442430/Storage_Hunter_Simulator/" TargetMode="External"/><Relationship Id="rId73" Type="http://schemas.openxmlformats.org/officeDocument/2006/relationships/hyperlink" Target="https://store.steampowered.com/app/2871390/Poly_TD/" TargetMode="External"/><Relationship Id="rId78" Type="http://schemas.openxmlformats.org/officeDocument/2006/relationships/hyperlink" Target="https://store.steampowered.com/app/2075100/Chernobylite_2_Exclusion_Zone/" TargetMode="External"/><Relationship Id="rId81" Type="http://schemas.openxmlformats.org/officeDocument/2006/relationships/hyperlink" Target="https://store.steampowered.com/app/2181950/Zero_Division/" TargetMode="External"/><Relationship Id="rId86" Type="http://schemas.openxmlformats.org/officeDocument/2006/relationships/hyperlink" Target="https://store.steampowered.com/app/2967320/Grandpa_High_on_Retro/" TargetMode="External"/><Relationship Id="rId94" Type="http://schemas.openxmlformats.org/officeDocument/2006/relationships/hyperlink" Target="https://store.steampowered.com/app/3779340/Idle_Reincarnator/" TargetMode="External"/><Relationship Id="rId99" Type="http://schemas.openxmlformats.org/officeDocument/2006/relationships/hyperlink" Target="https://store.steampowered.com/app/3604560/Figure_Shop_Simulator/" TargetMode="External"/><Relationship Id="rId101" Type="http://schemas.openxmlformats.org/officeDocument/2006/relationships/hyperlink" Target="https://store.steampowered.com/app/4249770/Captain_Whiskers_Incremental_Seas/" TargetMode="External"/><Relationship Id="rId4" Type="http://schemas.openxmlformats.org/officeDocument/2006/relationships/hyperlink" Target="https://store.steampowered.com/app/3408110/Cafemart_Simulator/" TargetMode="External"/><Relationship Id="rId9" Type="http://schemas.openxmlformats.org/officeDocument/2006/relationships/hyperlink" Target="https://store.steampowered.com/app/4768400/Idle_Crown/" TargetMode="External"/><Relationship Id="rId13" Type="http://schemas.openxmlformats.org/officeDocument/2006/relationships/hyperlink" Target="https://store.steampowered.com/app/860020/EXFIL/" TargetMode="External"/><Relationship Id="rId18" Type="http://schemas.openxmlformats.org/officeDocument/2006/relationships/hyperlink" Target="https://steamdb.info/app/3809110/" TargetMode="External"/><Relationship Id="rId39" Type="http://schemas.openxmlformats.org/officeDocument/2006/relationships/hyperlink" Target="https://store.steampowered.com/app/2430390/DYSPLACED/" TargetMode="External"/><Relationship Id="rId109" Type="http://schemas.openxmlformats.org/officeDocument/2006/relationships/hyperlink" Target="https://store.steampowered.com/app/2772750/Age_of_History_3/" TargetMode="External"/><Relationship Id="rId34" Type="http://schemas.openxmlformats.org/officeDocument/2006/relationships/hyperlink" Target="https://store.steampowered.com/app/3565080/Cyber_Rats/" TargetMode="External"/><Relationship Id="rId50" Type="http://schemas.openxmlformats.org/officeDocument/2006/relationships/hyperlink" Target="https://store.steampowered.com/app/3226210/Skeleseller/" TargetMode="External"/><Relationship Id="rId55" Type="http://schemas.openxmlformats.org/officeDocument/2006/relationships/hyperlink" Target="https://store.steampowered.com/app/3130340/Bean_There_Won_That/" TargetMode="External"/><Relationship Id="rId76" Type="http://schemas.openxmlformats.org/officeDocument/2006/relationships/hyperlink" Target="https://store.steampowered.com/app/3036010/Coin_Push_RPG/" TargetMode="External"/><Relationship Id="rId97" Type="http://schemas.openxmlformats.org/officeDocument/2006/relationships/hyperlink" Target="https://store.steampowered.com/app/2406370/Darkblade_Ascent/" TargetMode="External"/><Relationship Id="rId104" Type="http://schemas.openxmlformats.org/officeDocument/2006/relationships/hyperlink" Target="https://store.steampowered.com/app/2998750/Vending_Machine_Business_Simulator/" TargetMode="External"/><Relationship Id="rId7" Type="http://schemas.openxmlformats.org/officeDocument/2006/relationships/hyperlink" Target="https://store.steampowered.com/app/3279440/Drone_Sector/" TargetMode="External"/><Relationship Id="rId71" Type="http://schemas.openxmlformats.org/officeDocument/2006/relationships/hyperlink" Target="https://store.steampowered.com/app/4746070/Eldara/" TargetMode="External"/><Relationship Id="rId92" Type="http://schemas.openxmlformats.org/officeDocument/2006/relationships/hyperlink" Target="https://steamdb.info/app/3694590/" TargetMode="External"/><Relationship Id="rId2" Type="http://schemas.openxmlformats.org/officeDocument/2006/relationships/hyperlink" Target="https://store.steampowered.com/app/2625420/Drive_Beyond_Horizons/" TargetMode="External"/><Relationship Id="rId29" Type="http://schemas.openxmlformats.org/officeDocument/2006/relationships/hyperlink" Target="https://store.steampowered.com/app/1114150/CarX_Street/" TargetMode="External"/><Relationship Id="rId24" Type="http://schemas.openxmlformats.org/officeDocument/2006/relationships/hyperlink" Target="https://steamdb.info/app/990380/" TargetMode="External"/><Relationship Id="rId40" Type="http://schemas.openxmlformats.org/officeDocument/2006/relationships/hyperlink" Target="https://store.steampowered.com/app/4570720/DragonSword__Awakening/" TargetMode="External"/><Relationship Id="rId45" Type="http://schemas.openxmlformats.org/officeDocument/2006/relationships/hyperlink" Target="https://store.steampowered.com/app/3924170/Eternal_Afternoon/" TargetMode="External"/><Relationship Id="rId66" Type="http://schemas.openxmlformats.org/officeDocument/2006/relationships/hyperlink" Target="https://steamdb.info/app/1442430/" TargetMode="External"/><Relationship Id="rId87" Type="http://schemas.openxmlformats.org/officeDocument/2006/relationships/hyperlink" Target="https://store.steampowered.com/app/2779570/Archons/" TargetMode="External"/><Relationship Id="rId110" Type="http://schemas.openxmlformats.org/officeDocument/2006/relationships/hyperlink" Target="https://store.steampowered.com/app/3690760/Wild_West_Supermarket_Simulator/" TargetMode="External"/><Relationship Id="rId61" Type="http://schemas.openxmlformats.org/officeDocument/2006/relationships/hyperlink" Target="https://store.steampowered.com/app/4026480/Cafe_Business_Manager/" TargetMode="External"/><Relationship Id="rId82" Type="http://schemas.openxmlformats.org/officeDocument/2006/relationships/hyperlink" Target="https://store.steampowered.com/app/3405690/EA_SPORTS_FC_26/" TargetMode="External"/><Relationship Id="rId19" Type="http://schemas.openxmlformats.org/officeDocument/2006/relationships/hyperlink" Target="https://store.steampowered.com/app/4148530/City_Transport_Simulator_2026__Bus__Tram/" TargetMode="External"/><Relationship Id="rId14" Type="http://schemas.openxmlformats.org/officeDocument/2006/relationships/hyperlink" Target="https://store.steampowered.com/app/3163790/Toy_Shop_Simulator/" TargetMode="External"/><Relationship Id="rId30" Type="http://schemas.openxmlformats.org/officeDocument/2006/relationships/hyperlink" Target="https://store.steampowered.com/app/3140620/CAST_CHERNOZEM_ANOMALY_STRIKE_TEAM/" TargetMode="External"/><Relationship Id="rId35" Type="http://schemas.openxmlformats.org/officeDocument/2006/relationships/hyperlink" Target="https://store.steampowered.com/app/2986370/Food_Delivery_Simulator/" TargetMode="External"/><Relationship Id="rId56" Type="http://schemas.openxmlformats.org/officeDocument/2006/relationships/hyperlink" Target="https://store.steampowered.com/app/3702930/Bum_Revenge/" TargetMode="External"/><Relationship Id="rId77" Type="http://schemas.openxmlformats.org/officeDocument/2006/relationships/hyperlink" Target="https://steamdb.info/app/3036010/" TargetMode="External"/><Relationship Id="rId100" Type="http://schemas.openxmlformats.org/officeDocument/2006/relationships/hyperlink" Target="https://store.steampowered.com/app/4685070/Far_Mining/" TargetMode="External"/><Relationship Id="rId105" Type="http://schemas.openxmlformats.org/officeDocument/2006/relationships/hyperlink" Target="https://store.steampowered.com/app/1771980/The_Operator/" TargetMode="External"/><Relationship Id="rId8" Type="http://schemas.openxmlformats.org/officeDocument/2006/relationships/hyperlink" Target="https://store.steampowered.com/app/3569500/Card_Shop_Simulator_Multiplayer/" TargetMode="External"/><Relationship Id="rId51" Type="http://schemas.openxmlformats.org/officeDocument/2006/relationships/hyperlink" Target="https://steamdb.info/app/3226210/" TargetMode="External"/><Relationship Id="rId72" Type="http://schemas.openxmlformats.org/officeDocument/2006/relationships/hyperlink" Target="https://store.steampowered.com/app/3751730/Loan_Shark/" TargetMode="External"/><Relationship Id="rId93" Type="http://schemas.openxmlformats.org/officeDocument/2006/relationships/hyperlink" Target="https://store.steampowered.com/app/1699230/Hail_to_the_Rainbow/" TargetMode="External"/><Relationship Id="rId98" Type="http://schemas.openxmlformats.org/officeDocument/2006/relationships/hyperlink" Target="https://store.steampowered.com/app/4134600/EverRail/" TargetMode="External"/><Relationship Id="rId3" Type="http://schemas.openxmlformats.org/officeDocument/2006/relationships/hyperlink" Target="https://store.steampowered.com/app/3137520/Gun_Factory_Simulator/" TargetMode="External"/><Relationship Id="rId25" Type="http://schemas.openxmlformats.org/officeDocument/2006/relationships/hyperlink" Target="https://store.steampowered.com/app/1129570/Industry_Giant_40/" TargetMode="External"/><Relationship Id="rId46" Type="http://schemas.openxmlformats.org/officeDocument/2006/relationships/hyperlink" Target="https://store.steampowered.com/app/2597810/Afallon/" TargetMode="External"/><Relationship Id="rId67" Type="http://schemas.openxmlformats.org/officeDocument/2006/relationships/hyperlink" Target="https://store.steampowered.com/app/2453920/Amygdala/" TargetMode="External"/><Relationship Id="rId20" Type="http://schemas.openxmlformats.org/officeDocument/2006/relationships/hyperlink" Target="https://store.steampowered.com/app/3939100/Insomnia_Chapter_One/" TargetMode="External"/><Relationship Id="rId41" Type="http://schemas.openxmlformats.org/officeDocument/2006/relationships/hyperlink" Target="https://store.steampowered.com/app/3992260/Ascend_From_Nine_Mountains/" TargetMode="External"/><Relationship Id="rId62" Type="http://schemas.openxmlformats.org/officeDocument/2006/relationships/hyperlink" Target="https://steamdb.info/app/4026480/" TargetMode="External"/><Relationship Id="rId83" Type="http://schemas.openxmlformats.org/officeDocument/2006/relationships/hyperlink" Target="https://store.steampowered.com/app/2736020/Fuck_You_Witch/" TargetMode="External"/><Relationship Id="rId88" Type="http://schemas.openxmlformats.org/officeDocument/2006/relationships/hyperlink" Target="https://steamdb.info/app/2779570/" TargetMode="External"/><Relationship Id="rId111" Type="http://schemas.openxmlformats.org/officeDocument/2006/relationships/hyperlink" Target="https://steamdb.info/app/369076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steamdb.info/app/2289650/" TargetMode="External"/><Relationship Id="rId21" Type="http://schemas.openxmlformats.org/officeDocument/2006/relationships/hyperlink" Target="https://store.steampowered.com/app/2729820/Vending_Dokan_Kozy_Kiosk/" TargetMode="External"/><Relationship Id="rId42" Type="http://schemas.openxmlformats.org/officeDocument/2006/relationships/hyperlink" Target="https://steamdb.info/app/3841970/" TargetMode="External"/><Relationship Id="rId63" Type="http://schemas.openxmlformats.org/officeDocument/2006/relationships/hyperlink" Target="https://store.steampowered.com/app/1543710/Beyond_Galaxyland/" TargetMode="External"/><Relationship Id="rId84" Type="http://schemas.openxmlformats.org/officeDocument/2006/relationships/hyperlink" Target="https://steamdb.info/app/2379780/" TargetMode="External"/><Relationship Id="rId138" Type="http://schemas.openxmlformats.org/officeDocument/2006/relationships/hyperlink" Target="https://store.steampowered.com/app/3116640/Torque_Drift_2/" TargetMode="External"/><Relationship Id="rId159" Type="http://schemas.openxmlformats.org/officeDocument/2006/relationships/hyperlink" Target="https://steamdb.info/app/2828590/" TargetMode="External"/><Relationship Id="rId170" Type="http://schemas.openxmlformats.org/officeDocument/2006/relationships/hyperlink" Target="https://store.steampowered.com/app/1416960/Everafter_Falls/" TargetMode="External"/><Relationship Id="rId191" Type="http://schemas.openxmlformats.org/officeDocument/2006/relationships/hyperlink" Target="https://steamdb.info/app/4039140/" TargetMode="External"/><Relationship Id="rId107" Type="http://schemas.openxmlformats.org/officeDocument/2006/relationships/hyperlink" Target="https://steamdb.info/app/3119720/" TargetMode="External"/><Relationship Id="rId11" Type="http://schemas.openxmlformats.org/officeDocument/2006/relationships/hyperlink" Target="https://store.steampowered.com/app/2720950/Grunn/" TargetMode="External"/><Relationship Id="rId32" Type="http://schemas.openxmlformats.org/officeDocument/2006/relationships/hyperlink" Target="https://steamdb.info/app/2342690/" TargetMode="External"/><Relationship Id="rId53" Type="http://schemas.openxmlformats.org/officeDocument/2006/relationships/hyperlink" Target="https://store.steampowered.com/app/3109580/I_Am_Legion_Stand_Survivors/" TargetMode="External"/><Relationship Id="rId74" Type="http://schemas.openxmlformats.org/officeDocument/2006/relationships/hyperlink" Target="https://steamdb.info/app/3480990/" TargetMode="External"/><Relationship Id="rId128" Type="http://schemas.openxmlformats.org/officeDocument/2006/relationships/hyperlink" Target="https://store.steampowered.com/app/2854710/Chocolate_Factory/" TargetMode="External"/><Relationship Id="rId149" Type="http://schemas.openxmlformats.org/officeDocument/2006/relationships/hyperlink" Target="https://steamdb.info/app/1897650/" TargetMode="External"/><Relationship Id="rId5" Type="http://schemas.openxmlformats.org/officeDocument/2006/relationships/hyperlink" Target="https://store.steampowered.com/app/3734400/Creepy_Shift_Uncle_Joes_Motel/" TargetMode="External"/><Relationship Id="rId95" Type="http://schemas.openxmlformats.org/officeDocument/2006/relationships/hyperlink" Target="https://store.steampowered.com/app/2097030/Union_of_Gnomes/" TargetMode="External"/><Relationship Id="rId160" Type="http://schemas.openxmlformats.org/officeDocument/2006/relationships/hyperlink" Target="https://store.steampowered.com/app/1669480/Firefighting_Simulator_Ignite/" TargetMode="External"/><Relationship Id="rId181" Type="http://schemas.openxmlformats.org/officeDocument/2006/relationships/hyperlink" Target="https://steamdb.info/app/1374490/" TargetMode="External"/><Relationship Id="rId22" Type="http://schemas.openxmlformats.org/officeDocument/2006/relationships/hyperlink" Target="https://steamdb.info/app/2729820/" TargetMode="External"/><Relationship Id="rId43" Type="http://schemas.openxmlformats.org/officeDocument/2006/relationships/hyperlink" Target="https://store.steampowered.com/app/2393730/Legendary_Pilots/" TargetMode="External"/><Relationship Id="rId64" Type="http://schemas.openxmlformats.org/officeDocument/2006/relationships/hyperlink" Target="https://steamdb.info/app/1543710/" TargetMode="External"/><Relationship Id="rId118" Type="http://schemas.openxmlformats.org/officeDocument/2006/relationships/hyperlink" Target="https://store.steampowered.com/app/3558400/Backseat_Drivers/" TargetMode="External"/><Relationship Id="rId139" Type="http://schemas.openxmlformats.org/officeDocument/2006/relationships/hyperlink" Target="https://steamdb.info/app/3116640/" TargetMode="External"/><Relationship Id="rId85" Type="http://schemas.openxmlformats.org/officeDocument/2006/relationships/hyperlink" Target="https://store.steampowered.com/app/4530880/BACKSPACE/" TargetMode="External"/><Relationship Id="rId150" Type="http://schemas.openxmlformats.org/officeDocument/2006/relationships/hyperlink" Target="https://store.steampowered.com/app/2288470/Aethermancer/" TargetMode="External"/><Relationship Id="rId171" Type="http://schemas.openxmlformats.org/officeDocument/2006/relationships/hyperlink" Target="https://steamdb.info/app/1416960/" TargetMode="External"/><Relationship Id="rId192" Type="http://schemas.openxmlformats.org/officeDocument/2006/relationships/hyperlink" Target="https://store.steampowered.com/app/2197680/That_Time_I_Got_Reincarnated_as_a_Slime_ISEKAI_Chronicles/" TargetMode="External"/><Relationship Id="rId12" Type="http://schemas.openxmlformats.org/officeDocument/2006/relationships/hyperlink" Target="https://steamdb.info/app/2720950/" TargetMode="External"/><Relationship Id="rId33" Type="http://schemas.openxmlformats.org/officeDocument/2006/relationships/hyperlink" Target="https://store.steampowered.com/app/3978250/Sector_Space/" TargetMode="External"/><Relationship Id="rId108" Type="http://schemas.openxmlformats.org/officeDocument/2006/relationships/hyperlink" Target="https://store.steampowered.com/app/1805320/Romestead/" TargetMode="External"/><Relationship Id="rId129" Type="http://schemas.openxmlformats.org/officeDocument/2006/relationships/hyperlink" Target="https://steamdb.info/app/2854710/" TargetMode="External"/><Relationship Id="rId54" Type="http://schemas.openxmlformats.org/officeDocument/2006/relationships/hyperlink" Target="https://steamdb.info/app/3109580/" TargetMode="External"/><Relationship Id="rId75" Type="http://schemas.openxmlformats.org/officeDocument/2006/relationships/hyperlink" Target="https://store.steampowered.com/app/4303040/Pyromaniac/" TargetMode="External"/><Relationship Id="rId96" Type="http://schemas.openxmlformats.org/officeDocument/2006/relationships/hyperlink" Target="https://steamdb.info/app/2097030/" TargetMode="External"/><Relationship Id="rId140" Type="http://schemas.openxmlformats.org/officeDocument/2006/relationships/hyperlink" Target="https://store.steampowered.com/app/3189340/Dungeons_of_Eternity/" TargetMode="External"/><Relationship Id="rId161" Type="http://schemas.openxmlformats.org/officeDocument/2006/relationships/hyperlink" Target="https://steamdb.info/app/1669480/" TargetMode="External"/><Relationship Id="rId182" Type="http://schemas.openxmlformats.org/officeDocument/2006/relationships/hyperlink" Target="https://store.steampowered.com/app/2285940/Hollow_Survivors" TargetMode="External"/><Relationship Id="rId6" Type="http://schemas.openxmlformats.org/officeDocument/2006/relationships/hyperlink" Target="https://steamdb.info/app/3734400/" TargetMode="External"/><Relationship Id="rId23" Type="http://schemas.openxmlformats.org/officeDocument/2006/relationships/hyperlink" Target="https://store.steampowered.com/app/2856370/Into_the_Emberlands/" TargetMode="External"/><Relationship Id="rId119" Type="http://schemas.openxmlformats.org/officeDocument/2006/relationships/hyperlink" Target="https://steamdb.info/app/3558400/" TargetMode="External"/><Relationship Id="rId44" Type="http://schemas.openxmlformats.org/officeDocument/2006/relationships/hyperlink" Target="https://steamdb.info/app/2393730/" TargetMode="External"/><Relationship Id="rId65" Type="http://schemas.openxmlformats.org/officeDocument/2006/relationships/hyperlink" Target="https://store.steampowered.com/app/3237920/Mech_Havoc/" TargetMode="External"/><Relationship Id="rId86" Type="http://schemas.openxmlformats.org/officeDocument/2006/relationships/hyperlink" Target="https://steamdb.info/app/4530880/" TargetMode="External"/><Relationship Id="rId130" Type="http://schemas.openxmlformats.org/officeDocument/2006/relationships/hyperlink" Target="https://store.steampowered.com/app/2289390/Crab_God/" TargetMode="External"/><Relationship Id="rId151" Type="http://schemas.openxmlformats.org/officeDocument/2006/relationships/hyperlink" Target="https://steamdb.info/app/2288470/" TargetMode="External"/><Relationship Id="rId172" Type="http://schemas.openxmlformats.org/officeDocument/2006/relationships/hyperlink" Target="https://store.steampowered.com/app/3164500/Schedule_I/" TargetMode="External"/><Relationship Id="rId193" Type="http://schemas.openxmlformats.org/officeDocument/2006/relationships/hyperlink" Target="https://steamdb.info/app/2197680/" TargetMode="External"/><Relationship Id="rId13" Type="http://schemas.openxmlformats.org/officeDocument/2006/relationships/hyperlink" Target="https://store.steampowered.com/app/3393740/Firefly_Village/" TargetMode="External"/><Relationship Id="rId109" Type="http://schemas.openxmlformats.org/officeDocument/2006/relationships/hyperlink" Target="https://steamdb.info/app/1805320/" TargetMode="External"/><Relationship Id="rId34" Type="http://schemas.openxmlformats.org/officeDocument/2006/relationships/hyperlink" Target="https://steamdb.info/app/3978250/" TargetMode="External"/><Relationship Id="rId50" Type="http://schemas.openxmlformats.org/officeDocument/2006/relationships/hyperlink" Target="https://steamdb.info/app/3259470/" TargetMode="External"/><Relationship Id="rId55" Type="http://schemas.openxmlformats.org/officeDocument/2006/relationships/hyperlink" Target="https://store.steampowered.com/app/2741490/At_Tonys/" TargetMode="External"/><Relationship Id="rId76" Type="http://schemas.openxmlformats.org/officeDocument/2006/relationships/hyperlink" Target="https://steamdb.info/app/4303040/" TargetMode="External"/><Relationship Id="rId97" Type="http://schemas.openxmlformats.org/officeDocument/2006/relationships/hyperlink" Target="https://store.steampowered.com/app/4563880/walk/" TargetMode="External"/><Relationship Id="rId104" Type="http://schemas.openxmlformats.org/officeDocument/2006/relationships/hyperlink" Target="https://steamdb.info/app/1817500/" TargetMode="External"/><Relationship Id="rId120" Type="http://schemas.openxmlformats.org/officeDocument/2006/relationships/hyperlink" Target="https://store.steampowered.com/app/4019090/HAM_The_Game/" TargetMode="External"/><Relationship Id="rId125" Type="http://schemas.openxmlformats.org/officeDocument/2006/relationships/hyperlink" Target="https://steamdb.info/app/2918500/" TargetMode="External"/><Relationship Id="rId141" Type="http://schemas.openxmlformats.org/officeDocument/2006/relationships/hyperlink" Target="https://steamdb.info/app/3189340/" TargetMode="External"/><Relationship Id="rId146" Type="http://schemas.openxmlformats.org/officeDocument/2006/relationships/hyperlink" Target="https://store.steampowered.com/app/1307960/Quartet/" TargetMode="External"/><Relationship Id="rId167" Type="http://schemas.openxmlformats.org/officeDocument/2006/relationships/hyperlink" Target="https://steamdb.info/app/1594040/" TargetMode="External"/><Relationship Id="rId188" Type="http://schemas.openxmlformats.org/officeDocument/2006/relationships/hyperlink" Target="https://store.steampowered.com/app/1588550/Cairn/" TargetMode="External"/><Relationship Id="rId7" Type="http://schemas.openxmlformats.org/officeDocument/2006/relationships/hyperlink" Target="https://store.steampowered.com/app/3913270/Slimeward/" TargetMode="External"/><Relationship Id="rId71" Type="http://schemas.openxmlformats.org/officeDocument/2006/relationships/hyperlink" Target="https://store.steampowered.com/app/2850100/Dungeon_Exiles/" TargetMode="External"/><Relationship Id="rId92" Type="http://schemas.openxmlformats.org/officeDocument/2006/relationships/hyperlink" Target="https://steamdb.info/app/4276980/" TargetMode="External"/><Relationship Id="rId162" Type="http://schemas.openxmlformats.org/officeDocument/2006/relationships/hyperlink" Target="https://store.steampowered.com/app/2399420/Le_Mans_Ultimate/" TargetMode="External"/><Relationship Id="rId183" Type="http://schemas.openxmlformats.org/officeDocument/2006/relationships/hyperlink" Target="https://steamdb.info/app/2285940/" TargetMode="External"/><Relationship Id="rId2" Type="http://schemas.openxmlformats.org/officeDocument/2006/relationships/hyperlink" Target="https://steamdb.info/app/4834070/" TargetMode="External"/><Relationship Id="rId29" Type="http://schemas.openxmlformats.org/officeDocument/2006/relationships/hyperlink" Target="https://store.steampowered.com/app/3179050/Piece_by_Piece/" TargetMode="External"/><Relationship Id="rId24" Type="http://schemas.openxmlformats.org/officeDocument/2006/relationships/hyperlink" Target="https://steamdb.info/app/2856370/" TargetMode="External"/><Relationship Id="rId40" Type="http://schemas.openxmlformats.org/officeDocument/2006/relationships/hyperlink" Target="https://steamdb.info/app/3299080/charts/" TargetMode="External"/><Relationship Id="rId45" Type="http://schemas.openxmlformats.org/officeDocument/2006/relationships/hyperlink" Target="https://store.steampowered.com/app/3553210/Auto_Rogue/" TargetMode="External"/><Relationship Id="rId66" Type="http://schemas.openxmlformats.org/officeDocument/2006/relationships/hyperlink" Target="https://steamdb.info/app/3237920/" TargetMode="External"/><Relationship Id="rId87" Type="http://schemas.openxmlformats.org/officeDocument/2006/relationships/hyperlink" Target="https://store.steampowered.com/app/3929760/Incredicer/" TargetMode="External"/><Relationship Id="rId110" Type="http://schemas.openxmlformats.org/officeDocument/2006/relationships/hyperlink" Target="https://store.steampowered.com/app/2684370/Dinosaur_World/" TargetMode="External"/><Relationship Id="rId115" Type="http://schemas.openxmlformats.org/officeDocument/2006/relationships/hyperlink" Target="https://steamdb.info/app/2897240/" TargetMode="External"/><Relationship Id="rId131" Type="http://schemas.openxmlformats.org/officeDocument/2006/relationships/hyperlink" Target="https://steamdb.info/app/2289390/" TargetMode="External"/><Relationship Id="rId136" Type="http://schemas.openxmlformats.org/officeDocument/2006/relationships/hyperlink" Target="https://store.steampowered.com/app/2949320/Ratatan/" TargetMode="External"/><Relationship Id="rId157" Type="http://schemas.openxmlformats.org/officeDocument/2006/relationships/hyperlink" Target="https://steamdb.info/app/3329650/" TargetMode="External"/><Relationship Id="rId178" Type="http://schemas.openxmlformats.org/officeDocument/2006/relationships/hyperlink" Target="https://store.steampowered.com/app/2356560/Monster_Hunter_Stories/" TargetMode="External"/><Relationship Id="rId61" Type="http://schemas.openxmlformats.org/officeDocument/2006/relationships/hyperlink" Target="https://store.steampowered.com/app/2721890/oo/" TargetMode="External"/><Relationship Id="rId82" Type="http://schemas.openxmlformats.org/officeDocument/2006/relationships/hyperlink" Target="https://steamdb.info/app/4277790/" TargetMode="External"/><Relationship Id="rId152" Type="http://schemas.openxmlformats.org/officeDocument/2006/relationships/hyperlink" Target="https://store.steampowered.com/app/2934190/Aooni/" TargetMode="External"/><Relationship Id="rId173" Type="http://schemas.openxmlformats.org/officeDocument/2006/relationships/hyperlink" Target="https://steamdb.info/app/3164500/" TargetMode="External"/><Relationship Id="rId194" Type="http://schemas.openxmlformats.org/officeDocument/2006/relationships/hyperlink" Target="https://store.steampowered.com/app/1658920/Crown_Wars_The_Black_Prince/" TargetMode="External"/><Relationship Id="rId19" Type="http://schemas.openxmlformats.org/officeDocument/2006/relationships/hyperlink" Target="https://store.steampowered.com/app/3252360/Unemployment_Simulator_2018/" TargetMode="External"/><Relationship Id="rId14" Type="http://schemas.openxmlformats.org/officeDocument/2006/relationships/hyperlink" Target="https://steamdb.info/app/3393740/" TargetMode="External"/><Relationship Id="rId30" Type="http://schemas.openxmlformats.org/officeDocument/2006/relationships/hyperlink" Target="https://steamdb.info/app/3179050/" TargetMode="External"/><Relationship Id="rId35" Type="http://schemas.openxmlformats.org/officeDocument/2006/relationships/hyperlink" Target="https://store.steampowered.com/app/1226970/Disco_Simulator/" TargetMode="External"/><Relationship Id="rId56" Type="http://schemas.openxmlformats.org/officeDocument/2006/relationships/hyperlink" Target="https://steamdb.info/app/2741490/" TargetMode="External"/><Relationship Id="rId77" Type="http://schemas.openxmlformats.org/officeDocument/2006/relationships/hyperlink" Target="https://store.steampowered.com/app/1679510/Plushie_from_the_Sky/" TargetMode="External"/><Relationship Id="rId100" Type="http://schemas.openxmlformats.org/officeDocument/2006/relationships/hyperlink" Target="https://steamdb.info/app/3232040/" TargetMode="External"/><Relationship Id="rId105" Type="http://schemas.openxmlformats.org/officeDocument/2006/relationships/hyperlink" Target="https://store.steampowered.com/app/2085540/Stick_It_to_the_Stickman/" TargetMode="External"/><Relationship Id="rId126" Type="http://schemas.openxmlformats.org/officeDocument/2006/relationships/hyperlink" Target="https://store.steampowered.com/app/1865930/Space_Prison/" TargetMode="External"/><Relationship Id="rId147" Type="http://schemas.openxmlformats.org/officeDocument/2006/relationships/hyperlink" Target="https://steamdb.info/app/1307960/" TargetMode="External"/><Relationship Id="rId168" Type="http://schemas.openxmlformats.org/officeDocument/2006/relationships/hyperlink" Target="https://store.steampowered.com/app/3402720/Clean_Up_Earth/" TargetMode="External"/><Relationship Id="rId8" Type="http://schemas.openxmlformats.org/officeDocument/2006/relationships/hyperlink" Target="https://steamdb.info/app/3913270/" TargetMode="External"/><Relationship Id="rId51" Type="http://schemas.openxmlformats.org/officeDocument/2006/relationships/hyperlink" Target="https://store.steampowered.com/app/2434600/ShantyTown/" TargetMode="External"/><Relationship Id="rId72" Type="http://schemas.openxmlformats.org/officeDocument/2006/relationships/hyperlink" Target="https://steamdb.info/app/2850100/" TargetMode="External"/><Relationship Id="rId93" Type="http://schemas.openxmlformats.org/officeDocument/2006/relationships/hyperlink" Target="https://store.steampowered.com/app/3411050/3D_Escape_Room_Detective_Story/" TargetMode="External"/><Relationship Id="rId98" Type="http://schemas.openxmlformats.org/officeDocument/2006/relationships/hyperlink" Target="https://steamdb.info/app/4563880/" TargetMode="External"/><Relationship Id="rId121" Type="http://schemas.openxmlformats.org/officeDocument/2006/relationships/hyperlink" Target="https://steamdb.info/app/4019090/" TargetMode="External"/><Relationship Id="rId142" Type="http://schemas.openxmlformats.org/officeDocument/2006/relationships/hyperlink" Target="https://store.steampowered.com/app/1221480/Big_Hops_Together/" TargetMode="External"/><Relationship Id="rId163" Type="http://schemas.openxmlformats.org/officeDocument/2006/relationships/hyperlink" Target="https://steamdb.info/app/2399420/" TargetMode="External"/><Relationship Id="rId184" Type="http://schemas.openxmlformats.org/officeDocument/2006/relationships/hyperlink" Target="https://store.steampowered.com/app/1762930/Goat_Simulator_Remastered/" TargetMode="External"/><Relationship Id="rId189" Type="http://schemas.openxmlformats.org/officeDocument/2006/relationships/hyperlink" Target="https://steamdb.info/app/1588550/" TargetMode="External"/><Relationship Id="rId3" Type="http://schemas.openxmlformats.org/officeDocument/2006/relationships/hyperlink" Target="https://store.steampowered.com/app/2744010/Urban_Jungle/" TargetMode="External"/><Relationship Id="rId25" Type="http://schemas.openxmlformats.org/officeDocument/2006/relationships/hyperlink" Target="https://store.steampowered.com/app/3894850/Nothing_To_Declare/" TargetMode="External"/><Relationship Id="rId46" Type="http://schemas.openxmlformats.org/officeDocument/2006/relationships/hyperlink" Target="https://steamdb.info/app/3553210/" TargetMode="External"/><Relationship Id="rId67" Type="http://schemas.openxmlformats.org/officeDocument/2006/relationships/hyperlink" Target="https://store.steampowered.com/app/3011850/CRUELTY/" TargetMode="External"/><Relationship Id="rId116" Type="http://schemas.openxmlformats.org/officeDocument/2006/relationships/hyperlink" Target="https://store.steampowered.com/app/2289650/Mini_Airways__ATC_simulator/" TargetMode="External"/><Relationship Id="rId137" Type="http://schemas.openxmlformats.org/officeDocument/2006/relationships/hyperlink" Target="https://steamdb.info/app/2949320/" TargetMode="External"/><Relationship Id="rId158" Type="http://schemas.openxmlformats.org/officeDocument/2006/relationships/hyperlink" Target="https://store.steampowered.com/app/2828590/The_Haunting_of_Joni_Evers/" TargetMode="External"/><Relationship Id="rId20" Type="http://schemas.openxmlformats.org/officeDocument/2006/relationships/hyperlink" Target="https://steamdb.info/app/3252360/" TargetMode="External"/><Relationship Id="rId41" Type="http://schemas.openxmlformats.org/officeDocument/2006/relationships/hyperlink" Target="https://store.steampowered.com/app/3841970/Battle_On_Hero_Academy/" TargetMode="External"/><Relationship Id="rId62" Type="http://schemas.openxmlformats.org/officeDocument/2006/relationships/hyperlink" Target="https://steamdb.info/app/2721890/" TargetMode="External"/><Relationship Id="rId83" Type="http://schemas.openxmlformats.org/officeDocument/2006/relationships/hyperlink" Target="https://store.steampowered.com/app/2379780/Balatro/" TargetMode="External"/><Relationship Id="rId88" Type="http://schemas.openxmlformats.org/officeDocument/2006/relationships/hyperlink" Target="https://steamdb.info/app/3929760/" TargetMode="External"/><Relationship Id="rId111" Type="http://schemas.openxmlformats.org/officeDocument/2006/relationships/hyperlink" Target="https://steamdb.info/app/2684370/" TargetMode="External"/><Relationship Id="rId132" Type="http://schemas.openxmlformats.org/officeDocument/2006/relationships/hyperlink" Target="https://store.steampowered.com/app/2162800/shapez_2__Factory/" TargetMode="External"/><Relationship Id="rId153" Type="http://schemas.openxmlformats.org/officeDocument/2006/relationships/hyperlink" Target="https://steamdb.info/app/2934190/" TargetMode="External"/><Relationship Id="rId174" Type="http://schemas.openxmlformats.org/officeDocument/2006/relationships/hyperlink" Target="https://store.steampowered.com/app/3081840/Chrono_Gear_Warden_of_Time/" TargetMode="External"/><Relationship Id="rId179" Type="http://schemas.openxmlformats.org/officeDocument/2006/relationships/hyperlink" Target="https://steamdb.info/app/2356560/" TargetMode="External"/><Relationship Id="rId195" Type="http://schemas.openxmlformats.org/officeDocument/2006/relationships/hyperlink" Target="https://steamdb.info/app/1658920/" TargetMode="External"/><Relationship Id="rId190" Type="http://schemas.openxmlformats.org/officeDocument/2006/relationships/hyperlink" Target="https://store.steampowered.com/app/4039140/Subway_Builder/" TargetMode="External"/><Relationship Id="rId15" Type="http://schemas.openxmlformats.org/officeDocument/2006/relationships/hyperlink" Target="https://store.steampowered.com/app/3482510/Packing_Life/" TargetMode="External"/><Relationship Id="rId36" Type="http://schemas.openxmlformats.org/officeDocument/2006/relationships/hyperlink" Target="https://steamdb.info/app/1226970/" TargetMode="External"/><Relationship Id="rId57" Type="http://schemas.openxmlformats.org/officeDocument/2006/relationships/hyperlink" Target="https://store.steampowered.com/app/2760790/Another_Farm_Roguelike_Rebirth/" TargetMode="External"/><Relationship Id="rId106" Type="http://schemas.openxmlformats.org/officeDocument/2006/relationships/hyperlink" Target="https://store.steampowered.com/app/3119720/Barro_2024/" TargetMode="External"/><Relationship Id="rId127" Type="http://schemas.openxmlformats.org/officeDocument/2006/relationships/hyperlink" Target="https://steamdb.info/app/1865930/" TargetMode="External"/><Relationship Id="rId10" Type="http://schemas.openxmlformats.org/officeDocument/2006/relationships/hyperlink" Target="https://steamdb.info/app/2129220/" TargetMode="External"/><Relationship Id="rId31" Type="http://schemas.openxmlformats.org/officeDocument/2006/relationships/hyperlink" Target="https://store.steampowered.com/app/2342690/Call_of_Boba/" TargetMode="External"/><Relationship Id="rId52" Type="http://schemas.openxmlformats.org/officeDocument/2006/relationships/hyperlink" Target="https://steamdb.info/app/2434600/" TargetMode="External"/><Relationship Id="rId73" Type="http://schemas.openxmlformats.org/officeDocument/2006/relationships/hyperlink" Target="https://store.steampowered.com/app/3480990/There_Are_No_Orcs/" TargetMode="External"/><Relationship Id="rId78" Type="http://schemas.openxmlformats.org/officeDocument/2006/relationships/hyperlink" Target="https://steamdb.info/app/1679510/" TargetMode="External"/><Relationship Id="rId94" Type="http://schemas.openxmlformats.org/officeDocument/2006/relationships/hyperlink" Target="https://steamdb.info/app/3411050/" TargetMode="External"/><Relationship Id="rId99" Type="http://schemas.openxmlformats.org/officeDocument/2006/relationships/hyperlink" Target="https://store.steampowered.com/app/3232040/BodyRecords/" TargetMode="External"/><Relationship Id="rId101" Type="http://schemas.openxmlformats.org/officeDocument/2006/relationships/hyperlink" Target="https://store.steampowered.com/app/3257310/10S_FOREVER/" TargetMode="External"/><Relationship Id="rId122" Type="http://schemas.openxmlformats.org/officeDocument/2006/relationships/hyperlink" Target="https://store.steampowered.com/app/4037180/Go_Ape_Ship/" TargetMode="External"/><Relationship Id="rId143" Type="http://schemas.openxmlformats.org/officeDocument/2006/relationships/hyperlink" Target="https://steamdb.info/app/1221480/" TargetMode="External"/><Relationship Id="rId148" Type="http://schemas.openxmlformats.org/officeDocument/2006/relationships/hyperlink" Target="https://store.steampowered.com/app/1897650/Dream_Tactics/" TargetMode="External"/><Relationship Id="rId164" Type="http://schemas.openxmlformats.org/officeDocument/2006/relationships/hyperlink" Target="https://store.steampowered.com/app/2021880/Ara_History_Untold_Anniversary_Edition/" TargetMode="External"/><Relationship Id="rId169" Type="http://schemas.openxmlformats.org/officeDocument/2006/relationships/hyperlink" Target="https://steamdb.info/app/3402720/" TargetMode="External"/><Relationship Id="rId185" Type="http://schemas.openxmlformats.org/officeDocument/2006/relationships/hyperlink" Target="https://steamdb.info/app/1762930/" TargetMode="External"/><Relationship Id="rId4" Type="http://schemas.openxmlformats.org/officeDocument/2006/relationships/hyperlink" Target="https://steamdb.info/app/2744010/" TargetMode="External"/><Relationship Id="rId9" Type="http://schemas.openxmlformats.org/officeDocument/2006/relationships/hyperlink" Target="https://store.steampowered.com/app/2129220/Zoo_Simulator/" TargetMode="External"/><Relationship Id="rId180" Type="http://schemas.openxmlformats.org/officeDocument/2006/relationships/hyperlink" Target="https://store.steampowered.com/app/1374490/RuneScape_Dragonwilds/" TargetMode="External"/><Relationship Id="rId26" Type="http://schemas.openxmlformats.org/officeDocument/2006/relationships/hyperlink" Target="https://steamdb.info/app/3894850/" TargetMode="External"/><Relationship Id="rId47" Type="http://schemas.openxmlformats.org/officeDocument/2006/relationships/hyperlink" Target="https://store.steampowered.com/app/2216660/Mortal_Glory_2/" TargetMode="External"/><Relationship Id="rId68" Type="http://schemas.openxmlformats.org/officeDocument/2006/relationships/hyperlink" Target="https://steamdb.info/app/3011850/" TargetMode="External"/><Relationship Id="rId89" Type="http://schemas.openxmlformats.org/officeDocument/2006/relationships/hyperlink" Target="https://store.steampowered.com/app/3694480/A_Game_About_Feeding_A_Black_Hole/" TargetMode="External"/><Relationship Id="rId112" Type="http://schemas.openxmlformats.org/officeDocument/2006/relationships/hyperlink" Target="https://store.steampowered.com/app/3089130/Retail_Company_Simulator/" TargetMode="External"/><Relationship Id="rId133" Type="http://schemas.openxmlformats.org/officeDocument/2006/relationships/hyperlink" Target="https://steamdb.info/app/2162800/" TargetMode="External"/><Relationship Id="rId154" Type="http://schemas.openxmlformats.org/officeDocument/2006/relationships/hyperlink" Target="https://store.steampowered.com/app/1811330/Lord_Ambermaze/" TargetMode="External"/><Relationship Id="rId175" Type="http://schemas.openxmlformats.org/officeDocument/2006/relationships/hyperlink" Target="https://steamdb.info/app/3081840/" TargetMode="External"/><Relationship Id="rId16" Type="http://schemas.openxmlformats.org/officeDocument/2006/relationships/hyperlink" Target="https://steamdb.info/app/3482510/" TargetMode="External"/><Relationship Id="rId37" Type="http://schemas.openxmlformats.org/officeDocument/2006/relationships/hyperlink" Target="https://store.steampowered.com/app/2789460/Ale_Abbey__Monastery_Brewery_Tycoon/" TargetMode="External"/><Relationship Id="rId58" Type="http://schemas.openxmlformats.org/officeDocument/2006/relationships/hyperlink" Target="https://steamdb.info/app/2760790/" TargetMode="External"/><Relationship Id="rId79" Type="http://schemas.openxmlformats.org/officeDocument/2006/relationships/hyperlink" Target="https://store.steampowered.com/app/2793370/Chillas_Art_Shinkansen_0___0/" TargetMode="External"/><Relationship Id="rId102" Type="http://schemas.openxmlformats.org/officeDocument/2006/relationships/hyperlink" Target="https://steamdb.info/app/3257310/" TargetMode="External"/><Relationship Id="rId123" Type="http://schemas.openxmlformats.org/officeDocument/2006/relationships/hyperlink" Target="https://steamdb.info/app/4037180/" TargetMode="External"/><Relationship Id="rId144" Type="http://schemas.openxmlformats.org/officeDocument/2006/relationships/hyperlink" Target="https://store.steampowered.com/app/1466230/The_Holy_Gosh_Darn/" TargetMode="External"/><Relationship Id="rId90" Type="http://schemas.openxmlformats.org/officeDocument/2006/relationships/hyperlink" Target="https://steamdb.info/app/3694480/" TargetMode="External"/><Relationship Id="rId165" Type="http://schemas.openxmlformats.org/officeDocument/2006/relationships/hyperlink" Target="https://steamdb.info/app/2021880/" TargetMode="External"/><Relationship Id="rId186" Type="http://schemas.openxmlformats.org/officeDocument/2006/relationships/hyperlink" Target="https://store.steampowered.com/app/3314070/The_Sims_2_Legacy_Collection/" TargetMode="External"/><Relationship Id="rId27" Type="http://schemas.openxmlformats.org/officeDocument/2006/relationships/hyperlink" Target="https://store.steampowered.com/app/2479290/Computer_Repair_Shop/" TargetMode="External"/><Relationship Id="rId48" Type="http://schemas.openxmlformats.org/officeDocument/2006/relationships/hyperlink" Target="https://steamdb.info/app/2216660/" TargetMode="External"/><Relationship Id="rId69" Type="http://schemas.openxmlformats.org/officeDocument/2006/relationships/hyperlink" Target="https://store.steampowered.com/app/2101890/Zoonomaly/" TargetMode="External"/><Relationship Id="rId113" Type="http://schemas.openxmlformats.org/officeDocument/2006/relationships/hyperlink" Target="https://steamdb.info/app/3089130/" TargetMode="External"/><Relationship Id="rId134" Type="http://schemas.openxmlformats.org/officeDocument/2006/relationships/hyperlink" Target="https://store.steampowered.com/app/2078230/Badlands_Crew__Drive_Command_Conquer/" TargetMode="External"/><Relationship Id="rId80" Type="http://schemas.openxmlformats.org/officeDocument/2006/relationships/hyperlink" Target="https://steamdb.info/app/2793370/" TargetMode="External"/><Relationship Id="rId155" Type="http://schemas.openxmlformats.org/officeDocument/2006/relationships/hyperlink" Target="https://steamdb.info/app/1811330/" TargetMode="External"/><Relationship Id="rId176" Type="http://schemas.openxmlformats.org/officeDocument/2006/relationships/hyperlink" Target="https://store.steampowered.com/app/1308940/Misc_A_Tiny_Tale/" TargetMode="External"/><Relationship Id="rId17" Type="http://schemas.openxmlformats.org/officeDocument/2006/relationships/hyperlink" Target="https://store.steampowered.com/app/4231470/Chopped_Up/" TargetMode="External"/><Relationship Id="rId38" Type="http://schemas.openxmlformats.org/officeDocument/2006/relationships/hyperlink" Target="https://steamdb.info/app/2789460/" TargetMode="External"/><Relationship Id="rId59" Type="http://schemas.openxmlformats.org/officeDocument/2006/relationships/hyperlink" Target="https://store.steampowered.com/app/3464970/Holder_of_Place/" TargetMode="External"/><Relationship Id="rId103" Type="http://schemas.openxmlformats.org/officeDocument/2006/relationships/hyperlink" Target="https://store.steampowered.com/app/1817500/Abandoned_Archive/" TargetMode="External"/><Relationship Id="rId124" Type="http://schemas.openxmlformats.org/officeDocument/2006/relationships/hyperlink" Target="https://store.steampowered.com/app/2918500/Cozy_Island/" TargetMode="External"/><Relationship Id="rId70" Type="http://schemas.openxmlformats.org/officeDocument/2006/relationships/hyperlink" Target="https://steamdb.info/app/2101890/" TargetMode="External"/><Relationship Id="rId91" Type="http://schemas.openxmlformats.org/officeDocument/2006/relationships/hyperlink" Target="https://store.steampowered.com/app/4276980/Tiny_Biomes_Cozy_Idle/" TargetMode="External"/><Relationship Id="rId145" Type="http://schemas.openxmlformats.org/officeDocument/2006/relationships/hyperlink" Target="https://steamdb.info/app/1466230/" TargetMode="External"/><Relationship Id="rId166" Type="http://schemas.openxmlformats.org/officeDocument/2006/relationships/hyperlink" Target="https://store.steampowered.com/app/1594040/Wreckreation/" TargetMode="External"/><Relationship Id="rId187" Type="http://schemas.openxmlformats.org/officeDocument/2006/relationships/hyperlink" Target="https://steamdb.info/app/3314070/" TargetMode="External"/><Relationship Id="rId1" Type="http://schemas.openxmlformats.org/officeDocument/2006/relationships/hyperlink" Target="https://store.steampowered.com/app/4834070/Dont_Sleep_With_The_Fishes/" TargetMode="External"/><Relationship Id="rId28" Type="http://schemas.openxmlformats.org/officeDocument/2006/relationships/hyperlink" Target="https://steamdb.info/app/2479290/" TargetMode="External"/><Relationship Id="rId49" Type="http://schemas.openxmlformats.org/officeDocument/2006/relationships/hyperlink" Target="https://store.steampowered.com/app/3259470/Papas_Pizzeria_Deluxe/" TargetMode="External"/><Relationship Id="rId114" Type="http://schemas.openxmlformats.org/officeDocument/2006/relationships/hyperlink" Target="https://store.steampowered.com/app/2897240/Puffin_Planes/" TargetMode="External"/><Relationship Id="rId60" Type="http://schemas.openxmlformats.org/officeDocument/2006/relationships/hyperlink" Target="https://steamdb.info/app/3464970/" TargetMode="External"/><Relationship Id="rId81" Type="http://schemas.openxmlformats.org/officeDocument/2006/relationships/hyperlink" Target="https://store.steampowered.com/app/4277790/Blackjack_Descent/" TargetMode="External"/><Relationship Id="rId135" Type="http://schemas.openxmlformats.org/officeDocument/2006/relationships/hyperlink" Target="https://steamdb.info/app/2078230/" TargetMode="External"/><Relationship Id="rId156" Type="http://schemas.openxmlformats.org/officeDocument/2006/relationships/hyperlink" Target="https://store.steampowered.com/app/3329650/Find_Love_or_Die_Trying_Til_Death_Do_Us_Part/" TargetMode="External"/><Relationship Id="rId177" Type="http://schemas.openxmlformats.org/officeDocument/2006/relationships/hyperlink" Target="https://steamdb.info/app/1308940/" TargetMode="External"/><Relationship Id="rId18" Type="http://schemas.openxmlformats.org/officeDocument/2006/relationships/hyperlink" Target="https://steamdb.info/app/4231470/" TargetMode="External"/><Relationship Id="rId39" Type="http://schemas.openxmlformats.org/officeDocument/2006/relationships/hyperlink" Target="https://store.steampowered.com/app/3299080/Snow_Resort_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0"/>
  <sheetViews>
    <sheetView workbookViewId="0"/>
  </sheetViews>
  <sheetFormatPr defaultColWidth="12.6328125" defaultRowHeight="15.75" customHeight="1"/>
  <cols>
    <col min="2" max="2" width="10.90625" customWidth="1"/>
    <col min="3" max="3" width="76" customWidth="1"/>
    <col min="4" max="4" width="41.6328125" customWidth="1"/>
    <col min="5" max="5" width="21.453125" customWidth="1"/>
    <col min="6" max="6" width="53.453125" customWidth="1"/>
    <col min="7" max="7" width="20.6328125" customWidth="1"/>
    <col min="8" max="8" width="21.26953125" customWidth="1"/>
    <col min="9" max="9" width="20.26953125" customWidth="1"/>
    <col min="10" max="10" width="20.7265625" customWidth="1"/>
    <col min="11" max="11" width="21.26953125" customWidth="1"/>
    <col min="12" max="12" width="20.26953125" customWidth="1"/>
    <col min="13" max="13" width="21.453125" customWidth="1"/>
    <col min="14" max="14" width="19.36328125" customWidth="1"/>
    <col min="16" max="16" width="14.26953125" customWidth="1"/>
    <col min="17" max="17" width="18" customWidth="1"/>
    <col min="18" max="18" width="15.08984375" customWidth="1"/>
  </cols>
  <sheetData>
    <row r="1" spans="1:26" ht="13">
      <c r="A1" s="1" t="s">
        <v>1</v>
      </c>
      <c r="B1" s="2" t="s">
        <v>2</v>
      </c>
      <c r="C1" s="2" t="s">
        <v>4</v>
      </c>
      <c r="D1" s="2" t="s">
        <v>6</v>
      </c>
      <c r="E1" s="2" t="s">
        <v>7</v>
      </c>
      <c r="F1" s="2" t="s">
        <v>8</v>
      </c>
      <c r="G1" s="2" t="s">
        <v>9</v>
      </c>
      <c r="H1" s="2" t="s">
        <v>10</v>
      </c>
      <c r="I1" s="2" t="s">
        <v>11</v>
      </c>
      <c r="J1" s="2" t="s">
        <v>12</v>
      </c>
      <c r="K1" s="2" t="s">
        <v>13</v>
      </c>
      <c r="L1" s="2" t="s">
        <v>0</v>
      </c>
      <c r="M1" s="2" t="s">
        <v>3</v>
      </c>
      <c r="N1" s="2" t="s">
        <v>5</v>
      </c>
      <c r="O1" s="2" t="s">
        <v>14</v>
      </c>
      <c r="P1" s="4" t="s">
        <v>15</v>
      </c>
      <c r="Q1" s="2" t="s">
        <v>16</v>
      </c>
      <c r="R1" s="2" t="s">
        <v>17</v>
      </c>
    </row>
    <row r="2" spans="1:26" ht="110.25" customHeight="1">
      <c r="A2" s="6" t="s">
        <v>18</v>
      </c>
      <c r="B2" s="7" t="s">
        <v>19</v>
      </c>
      <c r="C2" s="9" t="s">
        <v>22</v>
      </c>
      <c r="D2" s="7" t="s">
        <v>20</v>
      </c>
      <c r="E2" s="11" t="s">
        <v>21</v>
      </c>
      <c r="F2" s="7" t="s">
        <v>27</v>
      </c>
      <c r="G2" s="7" t="s">
        <v>29</v>
      </c>
      <c r="H2" s="13" t="s">
        <v>25</v>
      </c>
      <c r="I2" s="7" t="s">
        <v>26</v>
      </c>
      <c r="J2" s="13" t="s">
        <v>28</v>
      </c>
      <c r="K2" s="13" t="s">
        <v>25</v>
      </c>
      <c r="L2" s="7" t="s">
        <v>30</v>
      </c>
      <c r="M2" s="7" t="s">
        <v>31</v>
      </c>
      <c r="N2" s="7" t="s">
        <v>32</v>
      </c>
      <c r="O2" s="7" t="s">
        <v>33</v>
      </c>
      <c r="P2" s="7" t="s">
        <v>34</v>
      </c>
      <c r="Q2" s="7" t="s">
        <v>19</v>
      </c>
      <c r="R2" s="7" t="s">
        <v>35</v>
      </c>
      <c r="S2" s="15"/>
      <c r="T2" s="15"/>
      <c r="U2" s="15"/>
      <c r="V2" s="15"/>
      <c r="W2" s="15"/>
      <c r="X2" s="15"/>
      <c r="Y2" s="15"/>
      <c r="Z2" s="15"/>
    </row>
    <row r="3" spans="1:26" ht="13">
      <c r="A3" s="2" t="s">
        <v>36</v>
      </c>
      <c r="B3" s="18">
        <f ca="1">IFERROR(__xludf.DUMMYFUNCTION("IF(C3="""","""",VALUE(REGEXEXTRACT(C3,""app/(\d+)"")))"),4551040)</f>
        <v>4551040</v>
      </c>
      <c r="C3" s="20" t="s">
        <v>38</v>
      </c>
      <c r="D3" s="18" t="s">
        <v>40</v>
      </c>
      <c r="E3" s="23">
        <v>46163</v>
      </c>
      <c r="F3" s="18">
        <v>1</v>
      </c>
      <c r="G3" s="18">
        <v>2</v>
      </c>
      <c r="H3" s="24">
        <v>19.989999999999998</v>
      </c>
      <c r="I3" s="8">
        <v>0</v>
      </c>
      <c r="J3" s="8">
        <v>0</v>
      </c>
      <c r="K3" s="25">
        <v>19.989999999999998</v>
      </c>
      <c r="L3" s="18">
        <v>2</v>
      </c>
      <c r="M3" s="18">
        <v>1</v>
      </c>
      <c r="N3" s="18">
        <v>1</v>
      </c>
      <c r="O3" s="18">
        <v>2</v>
      </c>
      <c r="P3" s="26">
        <v>1</v>
      </c>
      <c r="Q3" s="18">
        <v>690</v>
      </c>
      <c r="R3" s="18">
        <v>80.92</v>
      </c>
    </row>
    <row r="4" spans="1:26" ht="13">
      <c r="A4" s="2" t="s">
        <v>41</v>
      </c>
      <c r="B4" s="18">
        <f ca="1">IFERROR(__xludf.DUMMYFUNCTION("IF(C4="""","""",VALUE(REGEXEXTRACT(C4,""app/(\d+)"")))"),2625420)</f>
        <v>2625420</v>
      </c>
      <c r="C4" s="30" t="s">
        <v>43</v>
      </c>
      <c r="D4" s="18" t="s">
        <v>45</v>
      </c>
      <c r="E4" s="23">
        <v>45740</v>
      </c>
      <c r="F4" s="18">
        <v>1</v>
      </c>
      <c r="G4" s="18">
        <v>1</v>
      </c>
      <c r="H4" s="24">
        <v>24.99</v>
      </c>
      <c r="I4" s="8">
        <v>0</v>
      </c>
      <c r="J4" s="8">
        <v>0</v>
      </c>
      <c r="K4" s="25">
        <v>24.99</v>
      </c>
      <c r="L4" s="18">
        <v>2</v>
      </c>
      <c r="M4" s="18">
        <v>1</v>
      </c>
      <c r="N4" s="18">
        <v>1</v>
      </c>
      <c r="O4" s="18">
        <v>2</v>
      </c>
      <c r="P4" s="26">
        <v>1</v>
      </c>
      <c r="Q4" s="18">
        <v>19882</v>
      </c>
      <c r="R4" s="18">
        <v>76.48</v>
      </c>
    </row>
    <row r="5" spans="1:26" ht="13">
      <c r="A5" s="2" t="s">
        <v>46</v>
      </c>
      <c r="B5" s="18">
        <f ca="1">IFERROR(__xludf.DUMMYFUNCTION("IF(C5="""","""",VALUE(REGEXEXTRACT(C5,""app/(\d+)"")))"),3137520)</f>
        <v>3137520</v>
      </c>
      <c r="C5" s="30" t="s">
        <v>48</v>
      </c>
      <c r="D5" s="18" t="s">
        <v>50</v>
      </c>
      <c r="E5" s="23">
        <v>45751</v>
      </c>
      <c r="F5" s="18">
        <v>1</v>
      </c>
      <c r="G5" s="18">
        <v>1</v>
      </c>
      <c r="H5" s="24">
        <v>14.99</v>
      </c>
      <c r="I5" s="8">
        <v>0</v>
      </c>
      <c r="J5" s="8">
        <v>0</v>
      </c>
      <c r="K5" s="25">
        <v>14.99</v>
      </c>
      <c r="L5" s="18">
        <v>1</v>
      </c>
      <c r="M5" s="18">
        <v>1</v>
      </c>
      <c r="N5" s="18">
        <v>3</v>
      </c>
      <c r="O5" s="18">
        <v>1</v>
      </c>
      <c r="P5" s="26">
        <v>1</v>
      </c>
      <c r="Q5" s="18">
        <v>163</v>
      </c>
      <c r="R5" s="18">
        <v>59.87</v>
      </c>
    </row>
    <row r="6" spans="1:26" ht="13">
      <c r="A6" s="2" t="s">
        <v>51</v>
      </c>
      <c r="B6" s="18">
        <f ca="1">IFERROR(__xludf.DUMMYFUNCTION("IF(C6="""","""",VALUE(REGEXEXTRACT(C6,""app/(\d+)"")))"),3408110)</f>
        <v>3408110</v>
      </c>
      <c r="C6" s="33" t="s">
        <v>53</v>
      </c>
      <c r="D6" s="34" t="s">
        <v>56</v>
      </c>
      <c r="E6" s="23">
        <v>45713</v>
      </c>
      <c r="F6" s="18">
        <v>1</v>
      </c>
      <c r="G6" s="18">
        <v>1</v>
      </c>
      <c r="H6" s="24">
        <v>7.99</v>
      </c>
      <c r="I6" s="8">
        <v>0</v>
      </c>
      <c r="J6" s="8">
        <v>0</v>
      </c>
      <c r="K6" s="25">
        <v>7.99</v>
      </c>
      <c r="L6" s="18">
        <v>1</v>
      </c>
      <c r="M6" s="18">
        <v>1</v>
      </c>
      <c r="N6" s="18">
        <v>3</v>
      </c>
      <c r="O6" s="18">
        <v>2</v>
      </c>
      <c r="P6" s="26">
        <v>1</v>
      </c>
      <c r="Q6" s="18">
        <v>687</v>
      </c>
      <c r="R6" s="18">
        <v>70.09</v>
      </c>
    </row>
    <row r="7" spans="1:26" ht="13">
      <c r="A7" s="2" t="s">
        <v>55</v>
      </c>
      <c r="B7" s="18">
        <f ca="1">IFERROR(__xludf.DUMMYFUNCTION("IF(C7="""","""",VALUE(REGEXEXTRACT(C7,""app/(\d+)"")))"),3177970)</f>
        <v>3177970</v>
      </c>
      <c r="C7" s="30" t="s">
        <v>59</v>
      </c>
      <c r="D7" s="18" t="s">
        <v>63</v>
      </c>
      <c r="E7" s="23">
        <v>45612</v>
      </c>
      <c r="F7" s="18">
        <v>1</v>
      </c>
      <c r="G7" s="18">
        <v>1</v>
      </c>
      <c r="H7" s="24">
        <v>6.99</v>
      </c>
      <c r="I7" s="37">
        <v>45804</v>
      </c>
      <c r="J7" s="8">
        <v>4</v>
      </c>
      <c r="K7" s="25">
        <v>6.99</v>
      </c>
      <c r="L7" s="18">
        <v>1</v>
      </c>
      <c r="M7" s="18">
        <v>1</v>
      </c>
      <c r="N7" s="18">
        <v>1</v>
      </c>
      <c r="O7" s="18">
        <v>1</v>
      </c>
      <c r="P7" s="26">
        <v>0</v>
      </c>
      <c r="Q7" s="18">
        <v>691</v>
      </c>
      <c r="R7" s="18">
        <v>74.22</v>
      </c>
    </row>
    <row r="8" spans="1:26" ht="13">
      <c r="A8" s="2" t="s">
        <v>60</v>
      </c>
      <c r="B8" s="18">
        <f ca="1">IFERROR(__xludf.DUMMYFUNCTION("IF(C8="""","""",VALUE(REGEXEXTRACT(C8,""app/(\d+)"")))"),3279440)</f>
        <v>3279440</v>
      </c>
      <c r="C8" s="30" t="s">
        <v>65</v>
      </c>
      <c r="D8" s="18" t="s">
        <v>68</v>
      </c>
      <c r="E8" s="23">
        <v>46224</v>
      </c>
      <c r="F8" s="18">
        <v>2</v>
      </c>
      <c r="G8" s="18">
        <v>1</v>
      </c>
      <c r="H8" s="24">
        <v>16.989999999999998</v>
      </c>
      <c r="I8" s="8">
        <v>0</v>
      </c>
      <c r="J8" s="8">
        <v>0</v>
      </c>
      <c r="K8" s="25">
        <v>16.989999999999998</v>
      </c>
      <c r="L8" s="18">
        <v>2</v>
      </c>
      <c r="M8" s="18">
        <v>1</v>
      </c>
      <c r="N8" s="18">
        <v>3</v>
      </c>
      <c r="O8" s="18">
        <v>1</v>
      </c>
      <c r="P8" s="26">
        <v>1</v>
      </c>
      <c r="Q8" s="18">
        <v>248</v>
      </c>
      <c r="R8" s="18">
        <v>82.99</v>
      </c>
    </row>
    <row r="9" spans="1:26" ht="13">
      <c r="A9" s="2" t="s">
        <v>64</v>
      </c>
      <c r="B9" s="18">
        <f ca="1">IFERROR(__xludf.DUMMYFUNCTION("IF(C9="""","""",VALUE(REGEXEXTRACT(C9,""app/(\d+)"")))"),3569500)</f>
        <v>3569500</v>
      </c>
      <c r="C9" s="33" t="s">
        <v>71</v>
      </c>
      <c r="D9" s="18" t="s">
        <v>73</v>
      </c>
      <c r="E9" s="23">
        <v>45826</v>
      </c>
      <c r="F9" s="18">
        <v>1</v>
      </c>
      <c r="G9" s="18">
        <v>1</v>
      </c>
      <c r="H9" s="24">
        <v>11.99</v>
      </c>
      <c r="I9" s="8">
        <v>0</v>
      </c>
      <c r="J9" s="8">
        <v>0</v>
      </c>
      <c r="K9" s="25">
        <v>11.99</v>
      </c>
      <c r="L9" s="18">
        <v>1</v>
      </c>
      <c r="M9" s="18">
        <v>1</v>
      </c>
      <c r="N9" s="18">
        <v>3</v>
      </c>
      <c r="O9" s="18">
        <v>2</v>
      </c>
      <c r="P9" s="26">
        <v>0</v>
      </c>
      <c r="Q9" s="18">
        <v>2153</v>
      </c>
      <c r="R9" s="18">
        <v>80.69</v>
      </c>
    </row>
    <row r="10" spans="1:26" ht="13">
      <c r="A10" s="2" t="s">
        <v>69</v>
      </c>
      <c r="B10" s="18">
        <f ca="1">IFERROR(__xludf.DUMMYFUNCTION("IF(C10="""","""",VALUE(REGEXEXTRACT(C10,""app/(\d+)"")))"),4768400)</f>
        <v>4768400</v>
      </c>
      <c r="C10" s="30" t="s">
        <v>75</v>
      </c>
      <c r="D10" s="18" t="s">
        <v>78</v>
      </c>
      <c r="E10" s="23">
        <v>46196</v>
      </c>
      <c r="F10" s="18">
        <v>1</v>
      </c>
      <c r="G10" s="18">
        <v>1</v>
      </c>
      <c r="H10" s="24">
        <v>3.99</v>
      </c>
      <c r="I10" s="8">
        <v>0</v>
      </c>
      <c r="J10" s="8">
        <v>0</v>
      </c>
      <c r="K10" s="8">
        <v>3.99</v>
      </c>
      <c r="L10" s="18">
        <v>1</v>
      </c>
      <c r="M10" s="18">
        <v>1</v>
      </c>
      <c r="N10" s="18">
        <v>3</v>
      </c>
      <c r="O10" s="18">
        <v>1</v>
      </c>
      <c r="P10" s="26">
        <v>0</v>
      </c>
      <c r="Q10" s="18">
        <v>110</v>
      </c>
      <c r="R10" s="18">
        <v>50.69</v>
      </c>
    </row>
    <row r="11" spans="1:26" ht="13">
      <c r="A11" s="2" t="s">
        <v>74</v>
      </c>
      <c r="B11" s="18">
        <f ca="1">IFERROR(__xludf.DUMMYFUNCTION("IF(C11="""","""",VALUE(REGEXEXTRACT(C11,""app/(\d+)"")))"),3498390)</f>
        <v>3498390</v>
      </c>
      <c r="C11" s="30" t="s">
        <v>81</v>
      </c>
      <c r="D11" s="18" t="s">
        <v>82</v>
      </c>
      <c r="E11" s="23">
        <v>45730</v>
      </c>
      <c r="F11" s="18">
        <v>1</v>
      </c>
      <c r="G11" s="18">
        <v>1</v>
      </c>
      <c r="H11" s="24">
        <v>6.99</v>
      </c>
      <c r="I11" s="8">
        <v>0</v>
      </c>
      <c r="J11" s="8">
        <v>0</v>
      </c>
      <c r="K11" s="8">
        <v>6.99</v>
      </c>
      <c r="L11" s="18">
        <v>1</v>
      </c>
      <c r="M11" s="18">
        <v>1</v>
      </c>
      <c r="N11" s="18">
        <v>1</v>
      </c>
      <c r="O11" s="18">
        <v>2</v>
      </c>
      <c r="P11" s="26">
        <v>1</v>
      </c>
      <c r="Q11" s="18">
        <v>596</v>
      </c>
      <c r="R11" s="18">
        <v>86.25</v>
      </c>
    </row>
    <row r="12" spans="1:26" ht="13">
      <c r="A12" s="2" t="s">
        <v>79</v>
      </c>
      <c r="B12" s="18">
        <f ca="1">IFERROR(__xludf.DUMMYFUNCTION("IF(C12="""","""",VALUE(REGEXEXTRACT(C12,""app/(\d+)"")))"),2576150)</f>
        <v>2576150</v>
      </c>
      <c r="C12" s="30" t="s">
        <v>84</v>
      </c>
      <c r="D12" s="18" t="s">
        <v>87</v>
      </c>
      <c r="E12" s="23">
        <v>45995</v>
      </c>
      <c r="F12" s="18">
        <v>1</v>
      </c>
      <c r="G12" s="18">
        <v>1</v>
      </c>
      <c r="H12" s="24">
        <v>24.99</v>
      </c>
      <c r="I12" s="8">
        <v>0</v>
      </c>
      <c r="J12" s="8">
        <v>0</v>
      </c>
      <c r="K12" s="25">
        <v>24.99</v>
      </c>
      <c r="L12" s="18">
        <v>2</v>
      </c>
      <c r="M12" s="18">
        <v>2</v>
      </c>
      <c r="N12" s="18">
        <v>1</v>
      </c>
      <c r="O12" s="18">
        <v>2</v>
      </c>
      <c r="P12" s="26">
        <v>0</v>
      </c>
      <c r="Q12" s="18">
        <v>776</v>
      </c>
      <c r="R12" s="18">
        <v>51.67</v>
      </c>
    </row>
    <row r="13" spans="1:26" ht="13">
      <c r="A13" s="2" t="s">
        <v>85</v>
      </c>
      <c r="B13" s="18">
        <f ca="1">IFERROR(__xludf.DUMMYFUNCTION("IF(C13="""","""",VALUE(REGEXEXTRACT(C13,""app/(\d+)"")))"),3444080)</f>
        <v>3444080</v>
      </c>
      <c r="C13" s="30" t="s">
        <v>88</v>
      </c>
      <c r="D13" s="18" t="s">
        <v>90</v>
      </c>
      <c r="E13" s="23">
        <v>45846</v>
      </c>
      <c r="F13" s="18">
        <v>4</v>
      </c>
      <c r="G13" s="18">
        <v>1</v>
      </c>
      <c r="H13" s="24">
        <v>11.99</v>
      </c>
      <c r="I13" s="8">
        <v>0</v>
      </c>
      <c r="J13" s="8">
        <v>0</v>
      </c>
      <c r="K13" s="25">
        <v>11.99</v>
      </c>
      <c r="L13" s="18">
        <v>1</v>
      </c>
      <c r="M13" s="18">
        <v>1</v>
      </c>
      <c r="N13" s="18">
        <v>3</v>
      </c>
      <c r="O13" s="18">
        <v>2</v>
      </c>
      <c r="P13" s="26">
        <v>1</v>
      </c>
      <c r="Q13" s="18">
        <v>408</v>
      </c>
      <c r="R13" s="18">
        <v>66.19</v>
      </c>
    </row>
    <row r="14" spans="1:26" ht="13">
      <c r="A14" s="2" t="s">
        <v>91</v>
      </c>
      <c r="B14" s="18">
        <f ca="1">IFERROR(__xludf.DUMMYFUNCTION("IF(C14="""","""",VALUE(REGEXEXTRACT(C14,""app/(\d+)"")))"),860020)</f>
        <v>860020</v>
      </c>
      <c r="C14" s="30" t="s">
        <v>92</v>
      </c>
      <c r="D14" s="18" t="s">
        <v>94</v>
      </c>
      <c r="E14" s="23">
        <v>45637</v>
      </c>
      <c r="F14" s="18">
        <v>1</v>
      </c>
      <c r="G14" s="18">
        <v>1</v>
      </c>
      <c r="H14" s="40">
        <v>29.99</v>
      </c>
      <c r="I14" s="41">
        <v>45936</v>
      </c>
      <c r="J14" s="8">
        <v>1</v>
      </c>
      <c r="K14" s="25">
        <v>19.989999999999998</v>
      </c>
      <c r="L14" s="18">
        <v>2</v>
      </c>
      <c r="M14" s="18">
        <v>1</v>
      </c>
      <c r="N14" s="18">
        <v>1</v>
      </c>
      <c r="O14" s="18">
        <v>2</v>
      </c>
      <c r="P14" s="26">
        <v>1</v>
      </c>
      <c r="Q14" s="18">
        <v>867</v>
      </c>
      <c r="R14" s="18">
        <v>50.15</v>
      </c>
    </row>
    <row r="15" spans="1:26" ht="13">
      <c r="A15" s="2" t="s">
        <v>96</v>
      </c>
      <c r="B15" s="18">
        <f ca="1">IFERROR(__xludf.DUMMYFUNCTION("IF(C15="""","""",VALUE(REGEXEXTRACT(C15,""app/(\d+)"")))"),3163790)</f>
        <v>3163790</v>
      </c>
      <c r="C15" s="33" t="s">
        <v>97</v>
      </c>
      <c r="D15" s="44" t="s">
        <v>99</v>
      </c>
      <c r="E15" s="23">
        <v>45793</v>
      </c>
      <c r="F15" s="18">
        <v>1</v>
      </c>
      <c r="G15" s="18">
        <v>1</v>
      </c>
      <c r="H15" s="24">
        <v>12.99</v>
      </c>
      <c r="I15" s="37">
        <v>45800</v>
      </c>
      <c r="J15" s="8">
        <v>1</v>
      </c>
      <c r="K15" s="8">
        <v>16.989999999999998</v>
      </c>
      <c r="L15" s="18">
        <v>1</v>
      </c>
      <c r="M15" s="18">
        <v>1</v>
      </c>
      <c r="N15" s="18">
        <v>3</v>
      </c>
      <c r="O15" s="18">
        <v>1</v>
      </c>
      <c r="P15" s="26">
        <v>1</v>
      </c>
      <c r="Q15" s="18">
        <v>200</v>
      </c>
      <c r="R15" s="18">
        <v>74.72</v>
      </c>
    </row>
    <row r="16" spans="1:26" ht="13">
      <c r="A16" s="2" t="s">
        <v>101</v>
      </c>
      <c r="B16" s="18">
        <f ca="1">IFERROR(__xludf.DUMMYFUNCTION("IF(C16="""","""",VALUE(REGEXEXTRACT(C16,""app/(\d+)"")))"),3440120)</f>
        <v>3440120</v>
      </c>
      <c r="C16" s="30" t="s">
        <v>102</v>
      </c>
      <c r="D16" s="18" t="s">
        <v>104</v>
      </c>
      <c r="E16" s="23">
        <v>45906</v>
      </c>
      <c r="F16" s="18">
        <v>1</v>
      </c>
      <c r="G16" s="18">
        <v>1</v>
      </c>
      <c r="H16" s="24">
        <v>19.989999999999998</v>
      </c>
      <c r="I16" s="8">
        <v>0</v>
      </c>
      <c r="J16" s="8">
        <v>0</v>
      </c>
      <c r="K16" s="8">
        <v>19.989999999999998</v>
      </c>
      <c r="L16" s="18">
        <v>2</v>
      </c>
      <c r="M16" s="18">
        <v>1</v>
      </c>
      <c r="N16" s="18">
        <v>3</v>
      </c>
      <c r="O16" s="18">
        <v>1</v>
      </c>
      <c r="P16" s="26">
        <v>1</v>
      </c>
      <c r="Q16" s="18">
        <v>200</v>
      </c>
      <c r="R16" s="18">
        <v>66.12</v>
      </c>
    </row>
    <row r="17" spans="1:18" ht="13">
      <c r="A17" s="2" t="s">
        <v>106</v>
      </c>
      <c r="B17" s="18">
        <f ca="1">IFERROR(__xludf.DUMMYFUNCTION("IF(C17="""","""",VALUE(REGEXEXTRACT(C17,""app/(\d+)"")))"),3809110)</f>
        <v>3809110</v>
      </c>
      <c r="C17" s="33" t="s">
        <v>107</v>
      </c>
      <c r="D17" s="34" t="s">
        <v>109</v>
      </c>
      <c r="E17" s="23">
        <v>45884</v>
      </c>
      <c r="F17" s="18">
        <v>1</v>
      </c>
      <c r="G17" s="18">
        <v>2</v>
      </c>
      <c r="H17" s="24">
        <v>7.99</v>
      </c>
      <c r="I17" s="8">
        <v>0</v>
      </c>
      <c r="J17" s="8">
        <v>0</v>
      </c>
      <c r="K17" s="8">
        <v>7.99</v>
      </c>
      <c r="L17" s="18">
        <v>1</v>
      </c>
      <c r="M17" s="18">
        <v>1</v>
      </c>
      <c r="N17" s="18">
        <v>4</v>
      </c>
      <c r="O17" s="18">
        <v>1</v>
      </c>
      <c r="P17" s="26">
        <v>0</v>
      </c>
      <c r="Q17" s="18">
        <v>366</v>
      </c>
      <c r="R17" s="18">
        <v>69.75</v>
      </c>
    </row>
    <row r="18" spans="1:18" ht="13">
      <c r="A18" s="2" t="s">
        <v>111</v>
      </c>
      <c r="B18" s="18">
        <f ca="1">IFERROR(__xludf.DUMMYFUNCTION("IF(C18="""","""",VALUE(REGEXEXTRACT(C18,""app/(\d+)"")))"),4148530)</f>
        <v>4148530</v>
      </c>
      <c r="C18" s="30" t="s">
        <v>112</v>
      </c>
      <c r="D18" s="18" t="s">
        <v>114</v>
      </c>
      <c r="E18" s="23">
        <v>46126</v>
      </c>
      <c r="F18" s="18">
        <v>1</v>
      </c>
      <c r="G18" s="18">
        <v>1</v>
      </c>
      <c r="H18" s="24">
        <v>39.99</v>
      </c>
      <c r="I18" s="8">
        <v>0</v>
      </c>
      <c r="J18" s="8">
        <v>0</v>
      </c>
      <c r="K18" s="8">
        <v>39.99</v>
      </c>
      <c r="L18" s="18">
        <v>3</v>
      </c>
      <c r="M18" s="18">
        <v>1</v>
      </c>
      <c r="N18" s="18">
        <v>3</v>
      </c>
      <c r="O18" s="18">
        <v>1</v>
      </c>
      <c r="P18" s="26">
        <v>0</v>
      </c>
      <c r="Q18" s="18">
        <v>481</v>
      </c>
      <c r="R18" s="18">
        <v>71.5</v>
      </c>
    </row>
    <row r="19" spans="1:18" ht="13">
      <c r="A19" s="2" t="s">
        <v>116</v>
      </c>
      <c r="B19" s="18">
        <f ca="1">IFERROR(__xludf.DUMMYFUNCTION("IF(C19="""","""",VALUE(REGEXEXTRACT(C19,""app/(\d+)"")))"),3939100)</f>
        <v>3939100</v>
      </c>
      <c r="C19" s="30" t="s">
        <v>117</v>
      </c>
      <c r="D19" s="18" t="s">
        <v>119</v>
      </c>
      <c r="E19" s="23">
        <v>46181</v>
      </c>
      <c r="F19" s="18">
        <v>4</v>
      </c>
      <c r="G19" s="18">
        <v>1</v>
      </c>
      <c r="H19" s="24">
        <v>4.99</v>
      </c>
      <c r="I19" s="8">
        <v>0</v>
      </c>
      <c r="J19" s="8">
        <v>0</v>
      </c>
      <c r="K19" s="8">
        <v>4.99</v>
      </c>
      <c r="L19" s="18">
        <v>1</v>
      </c>
      <c r="M19" s="18">
        <v>1</v>
      </c>
      <c r="N19" s="18">
        <v>1</v>
      </c>
      <c r="O19" s="18">
        <v>1</v>
      </c>
      <c r="P19" s="26">
        <v>0</v>
      </c>
      <c r="Q19" s="18">
        <v>148</v>
      </c>
      <c r="R19" s="18">
        <v>69.98</v>
      </c>
    </row>
    <row r="20" spans="1:18" ht="13">
      <c r="A20" s="2" t="s">
        <v>120</v>
      </c>
      <c r="B20" s="18">
        <f ca="1">IFERROR(__xludf.DUMMYFUNCTION("IF(C20="""","""",VALUE(REGEXEXTRACT(C20,""app/(\d+)"")))"),2726370)</f>
        <v>2726370</v>
      </c>
      <c r="C20" s="33" t="s">
        <v>121</v>
      </c>
      <c r="D20" s="40" t="s">
        <v>123</v>
      </c>
      <c r="E20" s="23">
        <v>45931</v>
      </c>
      <c r="F20" s="18">
        <v>2</v>
      </c>
      <c r="G20" s="18">
        <v>1</v>
      </c>
      <c r="H20" s="24">
        <v>16.989999999999998</v>
      </c>
      <c r="I20" s="8">
        <v>0</v>
      </c>
      <c r="J20" s="8">
        <v>0</v>
      </c>
      <c r="K20" s="8">
        <v>16.989999999999998</v>
      </c>
      <c r="L20" s="18">
        <v>2</v>
      </c>
      <c r="M20" s="18">
        <v>1</v>
      </c>
      <c r="N20" s="18">
        <v>2</v>
      </c>
      <c r="O20" s="18">
        <v>1</v>
      </c>
      <c r="P20" s="26">
        <v>0</v>
      </c>
      <c r="Q20" s="18">
        <v>264</v>
      </c>
      <c r="R20" s="18">
        <v>57.09</v>
      </c>
    </row>
    <row r="21" spans="1:18" ht="13">
      <c r="A21" s="2" t="s">
        <v>124</v>
      </c>
      <c r="B21" s="18">
        <f ca="1">IFERROR(__xludf.DUMMYFUNCTION("IF(C21="""","""",VALUE(REGEXEXTRACT(C21,""app/(\d+)"")))"),3573430)</f>
        <v>3573430</v>
      </c>
      <c r="C21" s="30" t="s">
        <v>126</v>
      </c>
      <c r="D21" s="18" t="s">
        <v>128</v>
      </c>
      <c r="E21" s="23">
        <v>45930</v>
      </c>
      <c r="F21" s="18">
        <v>4</v>
      </c>
      <c r="G21" s="18">
        <v>1</v>
      </c>
      <c r="H21" s="24">
        <v>11.99</v>
      </c>
      <c r="I21" s="8">
        <v>0</v>
      </c>
      <c r="J21" s="8">
        <v>0</v>
      </c>
      <c r="K21" s="8">
        <v>11.99</v>
      </c>
      <c r="L21" s="18">
        <v>1</v>
      </c>
      <c r="M21" s="18">
        <v>1</v>
      </c>
      <c r="N21" s="18">
        <v>3</v>
      </c>
      <c r="O21" s="18">
        <v>1</v>
      </c>
      <c r="P21" s="26">
        <v>1</v>
      </c>
      <c r="Q21" s="18">
        <v>330</v>
      </c>
      <c r="R21" s="18">
        <v>67.760000000000005</v>
      </c>
    </row>
    <row r="22" spans="1:18" ht="13">
      <c r="A22" s="2" t="s">
        <v>129</v>
      </c>
      <c r="B22" s="18">
        <f ca="1">IFERROR(__xludf.DUMMYFUNCTION("IF(C22="""","""",VALUE(REGEXEXTRACT(C22,""app/(\d+)"")))"),990380)</f>
        <v>990380</v>
      </c>
      <c r="C22" s="33" t="s">
        <v>130</v>
      </c>
      <c r="D22" s="34" t="s">
        <v>132</v>
      </c>
      <c r="E22" s="23">
        <v>45902</v>
      </c>
      <c r="F22" s="18">
        <v>1</v>
      </c>
      <c r="G22" s="18">
        <v>2</v>
      </c>
      <c r="H22" s="24">
        <v>39.99</v>
      </c>
      <c r="I22" s="37">
        <v>46107</v>
      </c>
      <c r="J22" s="8">
        <v>1</v>
      </c>
      <c r="K22" s="8">
        <v>19.989999999999998</v>
      </c>
      <c r="L22" s="18">
        <v>3</v>
      </c>
      <c r="M22" s="18">
        <v>2</v>
      </c>
      <c r="N22" s="18">
        <v>1</v>
      </c>
      <c r="O22" s="18">
        <v>1</v>
      </c>
      <c r="P22" s="26">
        <v>0</v>
      </c>
      <c r="Q22" s="18">
        <v>2240</v>
      </c>
      <c r="R22" s="18">
        <v>81.209999999999994</v>
      </c>
    </row>
    <row r="23" spans="1:18" ht="13">
      <c r="A23" s="2" t="s">
        <v>134</v>
      </c>
      <c r="B23" s="18">
        <f ca="1">IFERROR(__xludf.DUMMYFUNCTION("IF(C23="""","""",VALUE(REGEXEXTRACT(C23,""app/(\d+)"")))"),1129570)</f>
        <v>1129570</v>
      </c>
      <c r="C23" s="30" t="s">
        <v>135</v>
      </c>
      <c r="D23" s="18" t="s">
        <v>137</v>
      </c>
      <c r="E23" s="23">
        <v>45947</v>
      </c>
      <c r="F23" s="18">
        <v>1</v>
      </c>
      <c r="G23" s="18">
        <v>1</v>
      </c>
      <c r="H23" s="24">
        <v>24.99</v>
      </c>
      <c r="I23" s="8">
        <v>0</v>
      </c>
      <c r="J23" s="8">
        <v>0</v>
      </c>
      <c r="K23" s="8">
        <v>24.99</v>
      </c>
      <c r="L23" s="18">
        <v>2</v>
      </c>
      <c r="M23" s="18">
        <v>2</v>
      </c>
      <c r="N23" s="18">
        <v>3</v>
      </c>
      <c r="O23" s="18">
        <v>1</v>
      </c>
      <c r="P23" s="26">
        <v>1</v>
      </c>
      <c r="Q23" s="18">
        <v>560</v>
      </c>
      <c r="R23" s="18">
        <v>38.75</v>
      </c>
    </row>
    <row r="24" spans="1:18" ht="13">
      <c r="A24" s="2" t="s">
        <v>139</v>
      </c>
      <c r="B24" s="18">
        <f ca="1">IFERROR(__xludf.DUMMYFUNCTION("IF(C24="""","""",VALUE(REGEXEXTRACT(C24,""app/(\d+)"")))"),2017480)</f>
        <v>2017480</v>
      </c>
      <c r="C24" s="30" t="s">
        <v>140</v>
      </c>
      <c r="D24" s="18" t="s">
        <v>142</v>
      </c>
      <c r="E24" s="23">
        <v>46041</v>
      </c>
      <c r="F24" s="18">
        <v>1</v>
      </c>
      <c r="G24" s="18">
        <v>1</v>
      </c>
      <c r="H24" s="24">
        <v>24.99</v>
      </c>
      <c r="I24" s="37">
        <v>46146</v>
      </c>
      <c r="J24" s="8">
        <v>2</v>
      </c>
      <c r="K24" s="8">
        <v>24.99</v>
      </c>
      <c r="L24" s="18">
        <v>2</v>
      </c>
      <c r="M24" s="18">
        <v>1</v>
      </c>
      <c r="N24" s="18">
        <v>2</v>
      </c>
      <c r="O24" s="18">
        <v>1</v>
      </c>
      <c r="P24" s="26">
        <v>1</v>
      </c>
      <c r="Q24" s="18">
        <v>117</v>
      </c>
      <c r="R24" s="18">
        <v>71.17</v>
      </c>
    </row>
    <row r="25" spans="1:18" ht="13">
      <c r="A25" s="2" t="s">
        <v>144</v>
      </c>
      <c r="B25" s="18">
        <f ca="1">IFERROR(__xludf.DUMMYFUNCTION("IF(C25="""","""",VALUE(REGEXEXTRACT(C25,""app/(\d+)"")))"),2393970)</f>
        <v>2393970</v>
      </c>
      <c r="C25" s="30" t="s">
        <v>145</v>
      </c>
      <c r="D25" s="18" t="s">
        <v>147</v>
      </c>
      <c r="E25" s="23">
        <v>46117</v>
      </c>
      <c r="F25" s="18">
        <v>1</v>
      </c>
      <c r="G25" s="18">
        <v>1</v>
      </c>
      <c r="H25" s="40">
        <v>19.989999999999998</v>
      </c>
      <c r="I25" s="37">
        <v>46167</v>
      </c>
      <c r="J25" s="8">
        <v>1</v>
      </c>
      <c r="K25" s="25">
        <v>16.88</v>
      </c>
      <c r="L25" s="18">
        <v>2</v>
      </c>
      <c r="M25" s="18">
        <v>1</v>
      </c>
      <c r="N25" s="18">
        <v>1</v>
      </c>
      <c r="O25" s="18">
        <v>1</v>
      </c>
      <c r="P25" s="26">
        <v>1</v>
      </c>
      <c r="Q25" s="18">
        <v>541</v>
      </c>
      <c r="R25" s="18">
        <v>76.94</v>
      </c>
    </row>
    <row r="26" spans="1:18" ht="13">
      <c r="A26" s="2" t="s">
        <v>148</v>
      </c>
      <c r="B26" s="18">
        <f ca="1">IFERROR(__xludf.DUMMYFUNCTION("IF(C26="""","""",VALUE(REGEXEXTRACT(C26,""app/(\d+)"")))"),3633250)</f>
        <v>3633250</v>
      </c>
      <c r="C26" s="33" t="s">
        <v>149</v>
      </c>
      <c r="D26" s="40" t="s">
        <v>151</v>
      </c>
      <c r="E26" s="23">
        <v>45973</v>
      </c>
      <c r="F26" s="18">
        <v>3</v>
      </c>
      <c r="G26" s="18">
        <v>1</v>
      </c>
      <c r="H26" s="24">
        <v>11.99</v>
      </c>
      <c r="I26" s="8">
        <v>0</v>
      </c>
      <c r="J26" s="8">
        <v>0</v>
      </c>
      <c r="K26" s="8">
        <v>11.99</v>
      </c>
      <c r="L26" s="18">
        <v>1</v>
      </c>
      <c r="M26" s="18">
        <v>2</v>
      </c>
      <c r="N26" s="18">
        <v>1</v>
      </c>
      <c r="O26" s="18">
        <v>1</v>
      </c>
      <c r="P26" s="26">
        <v>0</v>
      </c>
      <c r="Q26" s="18">
        <v>706</v>
      </c>
      <c r="R26" s="18">
        <v>75.010000000000005</v>
      </c>
    </row>
    <row r="27" spans="1:18" ht="13">
      <c r="A27" s="2" t="s">
        <v>152</v>
      </c>
      <c r="B27" s="18">
        <f ca="1">IFERROR(__xludf.DUMMYFUNCTION("IF(C27="""","""",VALUE(REGEXEXTRACT(C27,""app/(\d+)"")))"),1114150)</f>
        <v>1114150</v>
      </c>
      <c r="C27" s="30" t="s">
        <v>154</v>
      </c>
      <c r="D27" s="18" t="s">
        <v>155</v>
      </c>
      <c r="E27" s="23">
        <v>45533</v>
      </c>
      <c r="F27" s="18">
        <v>3</v>
      </c>
      <c r="G27" s="18">
        <v>2</v>
      </c>
      <c r="H27" s="24">
        <v>19.989999999999998</v>
      </c>
      <c r="I27" s="8">
        <v>0</v>
      </c>
      <c r="J27" s="8">
        <v>0</v>
      </c>
      <c r="K27" s="8">
        <v>19.989999999999998</v>
      </c>
      <c r="L27" s="18">
        <v>2</v>
      </c>
      <c r="M27" s="18">
        <v>1</v>
      </c>
      <c r="N27" s="18">
        <v>3</v>
      </c>
      <c r="O27" s="18">
        <v>2</v>
      </c>
      <c r="P27" s="26">
        <v>0</v>
      </c>
      <c r="Q27" s="18">
        <v>19265</v>
      </c>
      <c r="R27" s="18">
        <v>69.88</v>
      </c>
    </row>
    <row r="28" spans="1:18" ht="13">
      <c r="A28" s="2" t="s">
        <v>157</v>
      </c>
      <c r="B28" s="18">
        <f ca="1">IFERROR(__xludf.DUMMYFUNCTION("IF(C28="""","""",VALUE(REGEXEXTRACT(C28,""app/(\d+)"")))"),3140620)</f>
        <v>3140620</v>
      </c>
      <c r="C28" s="30" t="s">
        <v>158</v>
      </c>
      <c r="D28" s="18" t="s">
        <v>160</v>
      </c>
      <c r="E28" s="23">
        <v>45852</v>
      </c>
      <c r="F28" s="18">
        <v>1</v>
      </c>
      <c r="G28" s="18">
        <v>1</v>
      </c>
      <c r="H28" s="24">
        <v>6.99</v>
      </c>
      <c r="I28" s="8">
        <v>0</v>
      </c>
      <c r="J28" s="8">
        <v>0</v>
      </c>
      <c r="K28" s="8">
        <v>6.99</v>
      </c>
      <c r="L28" s="18">
        <v>1</v>
      </c>
      <c r="M28" s="18">
        <v>1</v>
      </c>
      <c r="N28" s="18">
        <v>1</v>
      </c>
      <c r="O28" s="18">
        <v>2</v>
      </c>
      <c r="P28" s="26">
        <v>1</v>
      </c>
      <c r="Q28" s="18">
        <v>832</v>
      </c>
      <c r="R28" s="18">
        <v>83.49</v>
      </c>
    </row>
    <row r="29" spans="1:18" ht="13">
      <c r="A29" s="2" t="s">
        <v>162</v>
      </c>
      <c r="B29" s="18">
        <f ca="1">IFERROR(__xludf.DUMMYFUNCTION("IF(C29="""","""",VALUE(REGEXEXTRACT(C29,""app/(\d+)"")))"),2445980)</f>
        <v>2445980</v>
      </c>
      <c r="C29" s="33" t="s">
        <v>163</v>
      </c>
      <c r="D29" s="40" t="s">
        <v>165</v>
      </c>
      <c r="E29" s="23">
        <v>46223</v>
      </c>
      <c r="F29" s="18">
        <v>1</v>
      </c>
      <c r="G29" s="18">
        <v>1</v>
      </c>
      <c r="H29" s="24">
        <v>29.99</v>
      </c>
      <c r="I29" s="8">
        <v>0</v>
      </c>
      <c r="J29" s="8">
        <v>0</v>
      </c>
      <c r="K29" s="8">
        <v>29.99</v>
      </c>
      <c r="L29" s="18">
        <v>2</v>
      </c>
      <c r="M29" s="18">
        <v>1</v>
      </c>
      <c r="N29" s="18">
        <v>1</v>
      </c>
      <c r="O29" s="18">
        <v>1</v>
      </c>
      <c r="P29" s="26">
        <v>1</v>
      </c>
      <c r="Q29" s="18">
        <v>209</v>
      </c>
      <c r="R29" s="18">
        <v>73.92</v>
      </c>
    </row>
    <row r="30" spans="1:18" ht="13">
      <c r="A30" s="2" t="s">
        <v>166</v>
      </c>
      <c r="B30" s="18">
        <f ca="1">IFERROR(__xludf.DUMMYFUNCTION("IF(C30="""","""",VALUE(REGEXEXTRACT(C30,""app/(\d+)"")))"),3972650)</f>
        <v>3972650</v>
      </c>
      <c r="C30" s="30" t="s">
        <v>167</v>
      </c>
      <c r="D30" s="18" t="s">
        <v>169</v>
      </c>
      <c r="E30" s="23">
        <v>46115</v>
      </c>
      <c r="F30" s="18">
        <v>1</v>
      </c>
      <c r="G30" s="18">
        <v>1</v>
      </c>
      <c r="H30" s="24">
        <v>13.99</v>
      </c>
      <c r="I30" s="8">
        <v>0</v>
      </c>
      <c r="J30" s="8">
        <v>0</v>
      </c>
      <c r="K30" s="8">
        <v>13.99</v>
      </c>
      <c r="L30" s="18">
        <v>1</v>
      </c>
      <c r="M30" s="18">
        <v>1</v>
      </c>
      <c r="N30" s="18">
        <v>3</v>
      </c>
      <c r="O30" s="18">
        <v>2</v>
      </c>
      <c r="P30" s="26">
        <v>0</v>
      </c>
      <c r="Q30" s="18">
        <v>669</v>
      </c>
      <c r="R30" s="18">
        <v>78.06</v>
      </c>
    </row>
    <row r="31" spans="1:18" ht="13">
      <c r="A31" s="2" t="s">
        <v>170</v>
      </c>
      <c r="B31" s="18">
        <f ca="1">IFERROR(__xludf.DUMMYFUNCTION("IF(C31="""","""",VALUE(REGEXEXTRACT(C31,""app/(\d+)"")))"),3928990)</f>
        <v>3928990</v>
      </c>
      <c r="C31" s="33" t="s">
        <v>172</v>
      </c>
      <c r="D31" s="40" t="s">
        <v>174</v>
      </c>
      <c r="E31" s="23">
        <v>46156</v>
      </c>
      <c r="F31" s="18">
        <v>4</v>
      </c>
      <c r="G31" s="18">
        <v>1</v>
      </c>
      <c r="H31" s="24">
        <v>12.99</v>
      </c>
      <c r="I31" s="8">
        <v>0</v>
      </c>
      <c r="J31" s="8">
        <v>0</v>
      </c>
      <c r="K31" s="8">
        <v>12.99</v>
      </c>
      <c r="L31" s="18">
        <v>1</v>
      </c>
      <c r="M31" s="18">
        <v>1</v>
      </c>
      <c r="N31" s="18">
        <v>3</v>
      </c>
      <c r="O31" s="18">
        <v>1</v>
      </c>
      <c r="P31" s="26">
        <v>0</v>
      </c>
      <c r="Q31" s="18">
        <v>331</v>
      </c>
      <c r="R31" s="18">
        <v>81.56</v>
      </c>
    </row>
    <row r="32" spans="1:18" ht="13">
      <c r="A32" s="2" t="s">
        <v>175</v>
      </c>
      <c r="B32" s="18">
        <f ca="1">IFERROR(__xludf.DUMMYFUNCTION("IF(C32="""","""",VALUE(REGEXEXTRACT(C32,""app/(\d+)"")))"),3565080)</f>
        <v>3565080</v>
      </c>
      <c r="C32" s="30" t="s">
        <v>176</v>
      </c>
      <c r="D32" s="18" t="s">
        <v>178</v>
      </c>
      <c r="E32" s="23">
        <v>45957</v>
      </c>
      <c r="F32" s="18">
        <v>1</v>
      </c>
      <c r="G32" s="18">
        <v>1</v>
      </c>
      <c r="H32" s="24">
        <v>8.99</v>
      </c>
      <c r="I32" s="37">
        <v>46009</v>
      </c>
      <c r="J32" s="8">
        <v>2</v>
      </c>
      <c r="K32" s="8">
        <v>7.99</v>
      </c>
      <c r="L32" s="18">
        <v>1</v>
      </c>
      <c r="M32" s="18">
        <v>1</v>
      </c>
      <c r="N32" s="18">
        <v>1</v>
      </c>
      <c r="O32" s="18">
        <v>1</v>
      </c>
      <c r="P32" s="26">
        <v>0</v>
      </c>
      <c r="Q32" s="18">
        <v>149</v>
      </c>
      <c r="R32" s="18">
        <v>82.66</v>
      </c>
    </row>
    <row r="33" spans="1:18" ht="13">
      <c r="A33" s="2" t="s">
        <v>179</v>
      </c>
      <c r="B33" s="18">
        <f ca="1">IFERROR(__xludf.DUMMYFUNCTION("IF(C33="""","""",VALUE(REGEXEXTRACT(C33,""app/(\d+)"")))"),2986370)</f>
        <v>2986370</v>
      </c>
      <c r="C33" s="30" t="s">
        <v>181</v>
      </c>
      <c r="D33" s="18" t="s">
        <v>182</v>
      </c>
      <c r="E33" s="23">
        <v>45636</v>
      </c>
      <c r="F33" s="18">
        <v>4</v>
      </c>
      <c r="G33" s="18">
        <v>1</v>
      </c>
      <c r="H33" s="24">
        <v>7.99</v>
      </c>
      <c r="I33" s="8">
        <v>0</v>
      </c>
      <c r="J33" s="8">
        <v>0</v>
      </c>
      <c r="K33" s="8">
        <v>7.99</v>
      </c>
      <c r="L33" s="18">
        <v>1</v>
      </c>
      <c r="M33" s="18">
        <v>1</v>
      </c>
      <c r="N33" s="18">
        <v>3</v>
      </c>
      <c r="O33" s="18">
        <v>1</v>
      </c>
      <c r="P33" s="26">
        <v>1</v>
      </c>
      <c r="Q33" s="18">
        <v>311</v>
      </c>
      <c r="R33" s="18">
        <v>71.08</v>
      </c>
    </row>
    <row r="34" spans="1:18" ht="13">
      <c r="A34" s="2" t="s">
        <v>183</v>
      </c>
      <c r="B34" s="18">
        <f ca="1">IFERROR(__xludf.DUMMYFUNCTION("IF(C34="""","""",VALUE(REGEXEXTRACT(C34,""app/(\d+)"")))"),3772080)</f>
        <v>3772080</v>
      </c>
      <c r="C34" s="30" t="s">
        <v>185</v>
      </c>
      <c r="D34" s="18" t="s">
        <v>186</v>
      </c>
      <c r="E34" s="23">
        <v>45957</v>
      </c>
      <c r="F34" s="18">
        <v>1</v>
      </c>
      <c r="G34" s="18">
        <v>2</v>
      </c>
      <c r="H34" s="24">
        <v>12.99</v>
      </c>
      <c r="I34" s="8">
        <v>0</v>
      </c>
      <c r="J34" s="8">
        <v>0</v>
      </c>
      <c r="K34" s="8">
        <v>12.99</v>
      </c>
      <c r="L34" s="18">
        <v>1</v>
      </c>
      <c r="M34" s="18">
        <v>1</v>
      </c>
      <c r="N34" s="18">
        <v>1</v>
      </c>
      <c r="O34" s="18">
        <v>1</v>
      </c>
      <c r="P34" s="26">
        <v>0</v>
      </c>
      <c r="Q34" s="18">
        <v>293</v>
      </c>
      <c r="R34" s="18">
        <v>57.13</v>
      </c>
    </row>
    <row r="35" spans="1:18" ht="13">
      <c r="A35" s="2" t="s">
        <v>188</v>
      </c>
      <c r="B35" s="18">
        <f ca="1">IFERROR(__xludf.DUMMYFUNCTION("IF(C35="""","""",VALUE(REGEXEXTRACT(C35,""app/(\d+)"")))"),3528280)</f>
        <v>3528280</v>
      </c>
      <c r="C35" s="30" t="s">
        <v>189</v>
      </c>
      <c r="D35" s="18" t="s">
        <v>191</v>
      </c>
      <c r="E35" s="23">
        <v>45951</v>
      </c>
      <c r="F35" s="18">
        <v>4</v>
      </c>
      <c r="G35" s="18">
        <v>1</v>
      </c>
      <c r="H35" s="24">
        <v>6.99</v>
      </c>
      <c r="I35" s="8">
        <v>0</v>
      </c>
      <c r="J35" s="8">
        <v>0</v>
      </c>
      <c r="K35" s="8">
        <v>6.99</v>
      </c>
      <c r="L35" s="18">
        <v>1</v>
      </c>
      <c r="M35" s="18">
        <v>1</v>
      </c>
      <c r="N35" s="18">
        <v>1</v>
      </c>
      <c r="O35" s="18">
        <v>1</v>
      </c>
      <c r="P35" s="26">
        <v>0</v>
      </c>
      <c r="Q35" s="18">
        <v>288</v>
      </c>
      <c r="R35" s="18">
        <v>59.66</v>
      </c>
    </row>
    <row r="36" spans="1:18" ht="13">
      <c r="A36" s="2" t="s">
        <v>192</v>
      </c>
      <c r="B36" s="18">
        <f ca="1">IFERROR(__xludf.DUMMYFUNCTION("IF(C36="""","""",VALUE(REGEXEXTRACT(C36,""app/(\d+)"")))"),4032350)</f>
        <v>4032350</v>
      </c>
      <c r="C36" s="33" t="s">
        <v>193</v>
      </c>
      <c r="D36" s="18" t="s">
        <v>195</v>
      </c>
      <c r="E36" s="23">
        <v>46212</v>
      </c>
      <c r="F36" s="18">
        <v>1</v>
      </c>
      <c r="G36" s="18">
        <v>2</v>
      </c>
      <c r="H36" s="24">
        <v>69.989999999999995</v>
      </c>
      <c r="I36" s="8">
        <v>0</v>
      </c>
      <c r="J36" s="8">
        <v>0</v>
      </c>
      <c r="K36" s="8">
        <v>69.989999999999995</v>
      </c>
      <c r="L36" s="18">
        <v>3</v>
      </c>
      <c r="M36" s="18">
        <v>2</v>
      </c>
      <c r="N36" s="18">
        <v>3</v>
      </c>
      <c r="O36" s="18">
        <v>2</v>
      </c>
      <c r="P36" s="26">
        <v>0</v>
      </c>
      <c r="Q36" s="18">
        <v>2259</v>
      </c>
      <c r="R36" s="18">
        <v>40.42</v>
      </c>
    </row>
    <row r="37" spans="1:18" ht="13">
      <c r="A37" s="2" t="s">
        <v>196</v>
      </c>
      <c r="B37" s="18">
        <f ca="1">IFERROR(__xludf.DUMMYFUNCTION("IF(C37="""","""",VALUE(REGEXEXTRACT(C37,""app/(\d+)"")))"),2430390)</f>
        <v>2430390</v>
      </c>
      <c r="C37" s="33" t="s">
        <v>198</v>
      </c>
      <c r="D37" s="40" t="s">
        <v>199</v>
      </c>
      <c r="E37" s="23">
        <v>46086</v>
      </c>
      <c r="F37" s="18">
        <v>1</v>
      </c>
      <c r="G37" s="18">
        <v>1</v>
      </c>
      <c r="H37" s="24">
        <v>24.99</v>
      </c>
      <c r="I37" s="8">
        <v>0</v>
      </c>
      <c r="J37" s="8">
        <v>0</v>
      </c>
      <c r="K37" s="8">
        <v>24.99</v>
      </c>
      <c r="L37" s="18">
        <v>2</v>
      </c>
      <c r="M37" s="18">
        <v>1</v>
      </c>
      <c r="N37" s="18">
        <v>1</v>
      </c>
      <c r="O37" s="18">
        <v>2</v>
      </c>
      <c r="P37" s="26">
        <v>1</v>
      </c>
      <c r="Q37" s="18">
        <v>328</v>
      </c>
      <c r="R37" s="18">
        <v>81.7</v>
      </c>
    </row>
    <row r="38" spans="1:18" ht="13">
      <c r="A38" s="2" t="s">
        <v>201</v>
      </c>
      <c r="B38" s="18">
        <f ca="1">IFERROR(__xludf.DUMMYFUNCTION("IF(C38="""","""",VALUE(REGEXEXTRACT(C38,""app/(\d+)"")))"),4570720)</f>
        <v>4570720</v>
      </c>
      <c r="C38" s="30" t="s">
        <v>202</v>
      </c>
      <c r="D38" s="18" t="s">
        <v>204</v>
      </c>
      <c r="E38" s="23">
        <v>46226</v>
      </c>
      <c r="F38" s="18">
        <v>2</v>
      </c>
      <c r="G38" s="18">
        <v>1</v>
      </c>
      <c r="H38" s="24">
        <v>29.99</v>
      </c>
      <c r="I38" s="8">
        <v>0</v>
      </c>
      <c r="J38" s="8">
        <v>0</v>
      </c>
      <c r="K38" s="8">
        <v>29.99</v>
      </c>
      <c r="L38" s="18">
        <v>2</v>
      </c>
      <c r="M38" s="18">
        <v>2</v>
      </c>
      <c r="N38" s="18">
        <v>2</v>
      </c>
      <c r="O38" s="18">
        <v>2</v>
      </c>
      <c r="P38" s="26">
        <v>0</v>
      </c>
      <c r="Q38" s="18">
        <v>8749</v>
      </c>
      <c r="R38" s="18">
        <v>87.57</v>
      </c>
    </row>
    <row r="39" spans="1:18" ht="13">
      <c r="A39" s="2" t="s">
        <v>205</v>
      </c>
      <c r="B39" s="18">
        <f ca="1">IFERROR(__xludf.DUMMYFUNCTION("IF(C39="""","""",VALUE(REGEXEXTRACT(C39,""app/(\d+)"")))"),3992260)</f>
        <v>3992260</v>
      </c>
      <c r="C39" s="30" t="s">
        <v>206</v>
      </c>
      <c r="D39" s="18" t="s">
        <v>208</v>
      </c>
      <c r="E39" s="23">
        <v>45932</v>
      </c>
      <c r="F39" s="18">
        <v>1</v>
      </c>
      <c r="G39" s="18">
        <v>2</v>
      </c>
      <c r="H39" s="40">
        <v>9.99</v>
      </c>
      <c r="I39" s="37">
        <v>46212</v>
      </c>
      <c r="J39" s="8">
        <v>2</v>
      </c>
      <c r="K39" s="25">
        <v>19.989999999999998</v>
      </c>
      <c r="L39" s="18">
        <v>1</v>
      </c>
      <c r="M39" s="18">
        <v>1</v>
      </c>
      <c r="N39" s="18">
        <v>2</v>
      </c>
      <c r="O39" s="18">
        <v>1</v>
      </c>
      <c r="P39" s="26">
        <v>1</v>
      </c>
      <c r="Q39" s="18">
        <v>285</v>
      </c>
      <c r="R39" s="18">
        <v>86.3</v>
      </c>
    </row>
    <row r="40" spans="1:18" ht="13">
      <c r="A40" s="2" t="s">
        <v>209</v>
      </c>
      <c r="B40" s="18">
        <f ca="1">IFERROR(__xludf.DUMMYFUNCTION("IF(C40="""","""",VALUE(REGEXEXTRACT(C40,""app/(\d+)"")))"),3919360)</f>
        <v>3919360</v>
      </c>
      <c r="C40" s="30" t="s">
        <v>211</v>
      </c>
      <c r="D40" s="18" t="s">
        <v>213</v>
      </c>
      <c r="E40" s="23">
        <v>46052</v>
      </c>
      <c r="F40" s="18">
        <v>4</v>
      </c>
      <c r="G40" s="18">
        <v>1</v>
      </c>
      <c r="H40" s="24">
        <v>14.99</v>
      </c>
      <c r="I40" s="8">
        <v>0</v>
      </c>
      <c r="J40" s="8">
        <v>0</v>
      </c>
      <c r="K40" s="8">
        <v>14.99</v>
      </c>
      <c r="L40" s="18">
        <v>1</v>
      </c>
      <c r="M40" s="18">
        <v>1</v>
      </c>
      <c r="N40" s="18">
        <v>3</v>
      </c>
      <c r="O40" s="18">
        <v>2</v>
      </c>
      <c r="P40" s="26">
        <v>1</v>
      </c>
      <c r="Q40" s="18">
        <v>296</v>
      </c>
      <c r="R40" s="18">
        <v>79.91</v>
      </c>
    </row>
    <row r="41" spans="1:18" ht="13">
      <c r="A41" s="2" t="s">
        <v>214</v>
      </c>
      <c r="B41" s="18">
        <f ca="1">IFERROR(__xludf.DUMMYFUNCTION("IF(C41="""","""",VALUE(REGEXEXTRACT(C41,""app/(\d+)"")))"),3266090)</f>
        <v>3266090</v>
      </c>
      <c r="C41" s="30" t="s">
        <v>215</v>
      </c>
      <c r="D41" s="18" t="s">
        <v>217</v>
      </c>
      <c r="E41" s="23">
        <v>45981</v>
      </c>
      <c r="F41" s="18">
        <v>4</v>
      </c>
      <c r="G41" s="18">
        <v>1</v>
      </c>
      <c r="H41" s="24">
        <v>13.99</v>
      </c>
      <c r="I41" s="8">
        <v>0</v>
      </c>
      <c r="J41" s="8">
        <v>0</v>
      </c>
      <c r="K41" s="8">
        <v>13.99</v>
      </c>
      <c r="L41" s="18">
        <v>1</v>
      </c>
      <c r="M41" s="18">
        <v>1</v>
      </c>
      <c r="N41" s="18">
        <v>3</v>
      </c>
      <c r="O41" s="18">
        <v>1</v>
      </c>
      <c r="P41" s="26">
        <v>1</v>
      </c>
      <c r="Q41" s="18">
        <v>418</v>
      </c>
      <c r="R41" s="18">
        <v>71.239999999999995</v>
      </c>
    </row>
    <row r="42" spans="1:18" ht="13">
      <c r="A42" s="2" t="s">
        <v>218</v>
      </c>
      <c r="B42" s="18">
        <f ca="1">IFERROR(__xludf.DUMMYFUNCTION("IF(C42="""","""",VALUE(REGEXEXTRACT(C42,""app/(\d+)"")))"),2959610)</f>
        <v>2959610</v>
      </c>
      <c r="C42" s="30" t="s">
        <v>220</v>
      </c>
      <c r="D42" s="18" t="s">
        <v>221</v>
      </c>
      <c r="E42" s="23">
        <v>45707</v>
      </c>
      <c r="F42" s="18">
        <v>1</v>
      </c>
      <c r="G42" s="18">
        <v>1</v>
      </c>
      <c r="H42" s="24">
        <v>12.99</v>
      </c>
      <c r="I42" s="8">
        <v>0</v>
      </c>
      <c r="J42" s="8">
        <v>0</v>
      </c>
      <c r="K42" s="8">
        <v>12.99</v>
      </c>
      <c r="L42" s="18">
        <v>1</v>
      </c>
      <c r="M42" s="18">
        <v>1</v>
      </c>
      <c r="N42" s="18">
        <v>3</v>
      </c>
      <c r="O42" s="18">
        <v>1</v>
      </c>
      <c r="P42" s="26">
        <v>1</v>
      </c>
      <c r="Q42" s="18">
        <v>525</v>
      </c>
      <c r="R42" s="18">
        <v>68.34</v>
      </c>
    </row>
    <row r="43" spans="1:18" ht="13">
      <c r="A43" s="2" t="s">
        <v>223</v>
      </c>
      <c r="B43" s="18">
        <f ca="1">IFERROR(__xludf.DUMMYFUNCTION("IF(C43="""","""",VALUE(REGEXEXTRACT(C43,""app/(\d+)"")))"),3924170)</f>
        <v>3924170</v>
      </c>
      <c r="C43" s="30" t="s">
        <v>224</v>
      </c>
      <c r="D43" s="18" t="s">
        <v>226</v>
      </c>
      <c r="E43" s="23">
        <v>46084</v>
      </c>
      <c r="F43" s="18">
        <v>3</v>
      </c>
      <c r="G43" s="18">
        <v>1</v>
      </c>
      <c r="H43" s="24">
        <v>8.99</v>
      </c>
      <c r="I43" s="8">
        <v>0</v>
      </c>
      <c r="J43" s="8">
        <v>0</v>
      </c>
      <c r="K43" s="8">
        <v>8.99</v>
      </c>
      <c r="L43" s="18">
        <v>1</v>
      </c>
      <c r="M43" s="18">
        <v>1</v>
      </c>
      <c r="N43" s="18">
        <v>2</v>
      </c>
      <c r="O43" s="18">
        <v>1</v>
      </c>
      <c r="P43" s="26">
        <v>0</v>
      </c>
      <c r="Q43" s="18">
        <v>437</v>
      </c>
      <c r="R43" s="18">
        <v>87.57</v>
      </c>
    </row>
    <row r="44" spans="1:18" ht="13">
      <c r="A44" s="2" t="s">
        <v>227</v>
      </c>
      <c r="B44" s="18">
        <f ca="1">IFERROR(__xludf.DUMMYFUNCTION("IF(C44="""","""",VALUE(REGEXEXTRACT(C44,""app/(\d+)"")))"),2597810)</f>
        <v>2597810</v>
      </c>
      <c r="C44" s="53" t="s">
        <v>229</v>
      </c>
      <c r="D44" s="18" t="s">
        <v>230</v>
      </c>
      <c r="E44" s="23">
        <v>45988</v>
      </c>
      <c r="F44" s="18">
        <v>3</v>
      </c>
      <c r="G44" s="18">
        <v>1</v>
      </c>
      <c r="H44" s="24">
        <v>11.99</v>
      </c>
      <c r="I44" s="8">
        <v>0</v>
      </c>
      <c r="J44" s="8">
        <v>0</v>
      </c>
      <c r="K44" s="8">
        <v>11.99</v>
      </c>
      <c r="L44" s="18">
        <v>1</v>
      </c>
      <c r="M44" s="18">
        <v>1</v>
      </c>
      <c r="N44" s="18">
        <v>2</v>
      </c>
      <c r="O44" s="18">
        <v>1</v>
      </c>
      <c r="P44" s="26">
        <v>1</v>
      </c>
      <c r="Q44" s="18">
        <v>213</v>
      </c>
      <c r="R44" s="18">
        <v>73.13</v>
      </c>
    </row>
    <row r="45" spans="1:18" ht="13">
      <c r="A45" s="2" t="s">
        <v>232</v>
      </c>
      <c r="B45" s="18">
        <f ca="1">IFERROR(__xludf.DUMMYFUNCTION("IF(C45="""","""",VALUE(REGEXEXTRACT(C45,""app/(\d+)"")))"),2215410)</f>
        <v>2215410</v>
      </c>
      <c r="C45" s="30" t="s">
        <v>233</v>
      </c>
      <c r="D45" s="18" t="s">
        <v>235</v>
      </c>
      <c r="E45" s="23">
        <v>45641</v>
      </c>
      <c r="F45" s="18">
        <v>1</v>
      </c>
      <c r="G45" s="18">
        <v>1</v>
      </c>
      <c r="H45" s="24">
        <v>14.99</v>
      </c>
      <c r="I45" s="8">
        <v>0</v>
      </c>
      <c r="J45" s="8">
        <v>0</v>
      </c>
      <c r="K45" s="8">
        <v>14.99</v>
      </c>
      <c r="L45" s="18">
        <v>1</v>
      </c>
      <c r="M45" s="18">
        <v>1</v>
      </c>
      <c r="N45" s="18">
        <v>3</v>
      </c>
      <c r="O45" s="18">
        <v>1</v>
      </c>
      <c r="P45" s="26">
        <v>1</v>
      </c>
      <c r="Q45" s="18">
        <v>211</v>
      </c>
      <c r="R45" s="18">
        <v>68.78</v>
      </c>
    </row>
    <row r="46" spans="1:18" ht="13">
      <c r="A46" s="2" t="s">
        <v>237</v>
      </c>
      <c r="B46" s="18">
        <f ca="1">IFERROR(__xludf.DUMMYFUNCTION("IF(C46="""","""",VALUE(REGEXEXTRACT(C46,""app/(\d+)"")))"),3073580)</f>
        <v>3073580</v>
      </c>
      <c r="C46" s="30" t="s">
        <v>238</v>
      </c>
      <c r="D46" s="18" t="s">
        <v>240</v>
      </c>
      <c r="E46" s="23">
        <v>45601</v>
      </c>
      <c r="F46" s="18">
        <v>4</v>
      </c>
      <c r="G46" s="18">
        <v>1</v>
      </c>
      <c r="H46" s="24">
        <v>8.99</v>
      </c>
      <c r="I46" s="8">
        <v>0</v>
      </c>
      <c r="J46" s="8">
        <v>0</v>
      </c>
      <c r="K46" s="8">
        <v>8.99</v>
      </c>
      <c r="L46" s="18">
        <v>1</v>
      </c>
      <c r="M46" s="18">
        <v>1</v>
      </c>
      <c r="N46" s="18">
        <v>3</v>
      </c>
      <c r="O46" s="18">
        <v>1</v>
      </c>
      <c r="P46" s="26">
        <v>0</v>
      </c>
      <c r="Q46" s="18">
        <v>200</v>
      </c>
      <c r="R46" s="18">
        <v>67.540000000000006</v>
      </c>
    </row>
    <row r="47" spans="1:18" ht="13">
      <c r="A47" s="2" t="s">
        <v>241</v>
      </c>
      <c r="B47" s="18">
        <f ca="1">IFERROR(__xludf.DUMMYFUNCTION("IF(C47="""","""",VALUE(REGEXEXTRACT(C47,""app/(\d+)"")))"),2923390)</f>
        <v>2923390</v>
      </c>
      <c r="C47" s="30" t="s">
        <v>242</v>
      </c>
      <c r="D47" s="18" t="s">
        <v>244</v>
      </c>
      <c r="E47" s="23">
        <v>45989</v>
      </c>
      <c r="F47" s="18">
        <v>4</v>
      </c>
      <c r="G47" s="18">
        <v>1</v>
      </c>
      <c r="H47" s="24">
        <v>12.99</v>
      </c>
      <c r="I47" s="8">
        <v>0</v>
      </c>
      <c r="J47" s="8">
        <v>0</v>
      </c>
      <c r="K47" s="8">
        <v>12.99</v>
      </c>
      <c r="L47" s="18">
        <v>1</v>
      </c>
      <c r="M47" s="18">
        <v>1</v>
      </c>
      <c r="N47" s="18">
        <v>3</v>
      </c>
      <c r="O47" s="18">
        <v>1</v>
      </c>
      <c r="P47" s="26">
        <v>1</v>
      </c>
      <c r="Q47" s="18">
        <v>1248</v>
      </c>
      <c r="R47" s="18">
        <v>85.1</v>
      </c>
    </row>
    <row r="48" spans="1:18" ht="13">
      <c r="A48" s="2" t="s">
        <v>245</v>
      </c>
      <c r="B48" s="18">
        <f ca="1">IFERROR(__xludf.DUMMYFUNCTION("IF(C48="""","""",VALUE(REGEXEXTRACT(C48,""app/(\d+)"")))"),3226210)</f>
        <v>3226210</v>
      </c>
      <c r="C48" s="33" t="s">
        <v>246</v>
      </c>
      <c r="D48" s="55" t="s">
        <v>248</v>
      </c>
      <c r="E48" s="23">
        <v>46098</v>
      </c>
      <c r="F48" s="18">
        <v>1</v>
      </c>
      <c r="G48" s="18">
        <v>1</v>
      </c>
      <c r="H48" s="24">
        <v>9.99</v>
      </c>
      <c r="I48" s="37">
        <v>46105</v>
      </c>
      <c r="J48" s="8">
        <v>2</v>
      </c>
      <c r="K48" s="8">
        <v>6.99</v>
      </c>
      <c r="L48" s="18">
        <v>1</v>
      </c>
      <c r="M48" s="18">
        <v>1</v>
      </c>
      <c r="N48" s="18">
        <v>3</v>
      </c>
      <c r="O48" s="18">
        <v>1</v>
      </c>
      <c r="P48" s="26">
        <v>0</v>
      </c>
      <c r="Q48" s="18">
        <v>419</v>
      </c>
      <c r="R48" s="18">
        <v>84.89</v>
      </c>
    </row>
    <row r="49" spans="1:18" ht="13">
      <c r="A49" s="2" t="s">
        <v>250</v>
      </c>
      <c r="B49" s="18">
        <f ca="1">IFERROR(__xludf.DUMMYFUNCTION("IF(C49="""","""",VALUE(REGEXEXTRACT(C49,""app/(\d+)"")))"),4384550)</f>
        <v>4384550</v>
      </c>
      <c r="C49" s="30" t="s">
        <v>252</v>
      </c>
      <c r="D49" s="18" t="s">
        <v>254</v>
      </c>
      <c r="E49" s="23">
        <v>45597</v>
      </c>
      <c r="F49" s="18">
        <v>1</v>
      </c>
      <c r="G49" s="18">
        <v>2</v>
      </c>
      <c r="H49" s="24">
        <v>69.989999999999995</v>
      </c>
      <c r="I49" s="8">
        <v>0</v>
      </c>
      <c r="J49" s="8">
        <v>0</v>
      </c>
      <c r="K49" s="8">
        <v>69.989999999999995</v>
      </c>
      <c r="L49" s="18">
        <v>3</v>
      </c>
      <c r="M49" s="18">
        <v>2</v>
      </c>
      <c r="N49" s="18">
        <v>1</v>
      </c>
      <c r="O49" s="18">
        <v>2</v>
      </c>
      <c r="P49" s="26">
        <v>0</v>
      </c>
      <c r="Q49" s="18">
        <v>15764</v>
      </c>
      <c r="R49" s="18">
        <v>44.57</v>
      </c>
    </row>
    <row r="50" spans="1:18" ht="13">
      <c r="A50" s="2" t="s">
        <v>255</v>
      </c>
      <c r="B50" s="18">
        <f ca="1">IFERROR(__xludf.DUMMYFUNCTION("IF(C50="""","""",VALUE(REGEXEXTRACT(C50,""app/(\d+)"")))"),3237570)</f>
        <v>3237570</v>
      </c>
      <c r="C50" s="33" t="s">
        <v>256</v>
      </c>
      <c r="D50" s="18" t="s">
        <v>258</v>
      </c>
      <c r="E50" s="23">
        <v>45867</v>
      </c>
      <c r="F50" s="18">
        <v>1</v>
      </c>
      <c r="G50" s="18">
        <v>1</v>
      </c>
      <c r="H50" s="24">
        <v>9.99</v>
      </c>
      <c r="I50" s="8">
        <v>0</v>
      </c>
      <c r="J50" s="8">
        <v>0</v>
      </c>
      <c r="K50" s="8">
        <v>9.99</v>
      </c>
      <c r="L50" s="18">
        <v>1</v>
      </c>
      <c r="M50" s="18">
        <v>1</v>
      </c>
      <c r="N50" s="18">
        <v>1</v>
      </c>
      <c r="O50" s="18">
        <v>2</v>
      </c>
      <c r="P50" s="26">
        <v>0</v>
      </c>
      <c r="Q50" s="18">
        <v>176</v>
      </c>
      <c r="R50" s="18">
        <v>47.76</v>
      </c>
    </row>
    <row r="51" spans="1:18" ht="13">
      <c r="A51" s="2" t="s">
        <v>260</v>
      </c>
      <c r="B51" s="18">
        <f ca="1">IFERROR(__xludf.DUMMYFUNCTION("IF(C51="""","""",VALUE(REGEXEXTRACT(C51,""app/(\d+)"")))"),2425150)</f>
        <v>2425150</v>
      </c>
      <c r="C51" s="30" t="s">
        <v>261</v>
      </c>
      <c r="D51" s="18" t="s">
        <v>262</v>
      </c>
      <c r="E51" s="23">
        <v>45799</v>
      </c>
      <c r="F51" s="18">
        <v>1</v>
      </c>
      <c r="G51" s="18">
        <v>1</v>
      </c>
      <c r="H51" s="40">
        <v>24.99</v>
      </c>
      <c r="I51" s="37">
        <v>46049</v>
      </c>
      <c r="J51" s="8">
        <v>1</v>
      </c>
      <c r="K51" s="25">
        <v>19.989999999999998</v>
      </c>
      <c r="L51" s="18">
        <v>2</v>
      </c>
      <c r="M51" s="18">
        <v>1</v>
      </c>
      <c r="N51" s="18">
        <v>3</v>
      </c>
      <c r="O51" s="18">
        <v>1</v>
      </c>
      <c r="P51" s="26">
        <v>1</v>
      </c>
      <c r="Q51" s="18">
        <v>320</v>
      </c>
      <c r="R51" s="18">
        <v>74.98</v>
      </c>
    </row>
    <row r="52" spans="1:18" ht="13">
      <c r="A52" s="2" t="s">
        <v>264</v>
      </c>
      <c r="B52" s="18">
        <f ca="1">IFERROR(__xludf.DUMMYFUNCTION("IF(C52="""","""",VALUE(REGEXEXTRACT(C52,""app/(\d+)"")))"),3130340)</f>
        <v>3130340</v>
      </c>
      <c r="C52" s="30" t="s">
        <v>265</v>
      </c>
      <c r="D52" s="18" t="s">
        <v>266</v>
      </c>
      <c r="E52" s="23">
        <v>45560</v>
      </c>
      <c r="F52" s="18">
        <v>2</v>
      </c>
      <c r="G52" s="18">
        <v>1</v>
      </c>
      <c r="H52" s="40">
        <v>14.99</v>
      </c>
      <c r="I52" s="37">
        <v>45569</v>
      </c>
      <c r="J52" s="8">
        <v>1</v>
      </c>
      <c r="K52" s="25">
        <v>11.99</v>
      </c>
      <c r="L52" s="18">
        <v>1</v>
      </c>
      <c r="M52" s="18">
        <v>1</v>
      </c>
      <c r="N52" s="18">
        <v>4</v>
      </c>
      <c r="O52" s="18">
        <v>2</v>
      </c>
      <c r="P52" s="26">
        <v>0</v>
      </c>
      <c r="Q52" s="18">
        <v>135</v>
      </c>
      <c r="R52" s="18">
        <v>70.3</v>
      </c>
    </row>
    <row r="53" spans="1:18" ht="13">
      <c r="A53" s="2" t="s">
        <v>268</v>
      </c>
      <c r="B53" s="18">
        <f ca="1">IFERROR(__xludf.DUMMYFUNCTION("IF(C53="""","""",VALUE(REGEXEXTRACT(C53,""app/(\d+)"")))"),3702930)</f>
        <v>3702930</v>
      </c>
      <c r="C53" s="30" t="s">
        <v>269</v>
      </c>
      <c r="D53" s="18" t="s">
        <v>271</v>
      </c>
      <c r="E53" s="23">
        <v>45868</v>
      </c>
      <c r="F53" s="18">
        <v>1</v>
      </c>
      <c r="G53" s="18">
        <v>1</v>
      </c>
      <c r="H53" s="40">
        <v>14.99</v>
      </c>
      <c r="I53" s="37">
        <v>46051</v>
      </c>
      <c r="J53" s="8">
        <v>1</v>
      </c>
      <c r="K53" s="25">
        <v>9.99</v>
      </c>
      <c r="L53" s="18">
        <v>1</v>
      </c>
      <c r="M53" s="18">
        <v>1</v>
      </c>
      <c r="N53" s="18">
        <v>1</v>
      </c>
      <c r="O53" s="18">
        <v>2</v>
      </c>
      <c r="P53" s="26">
        <v>1</v>
      </c>
      <c r="Q53" s="18">
        <v>413</v>
      </c>
      <c r="R53" s="18">
        <v>61.25</v>
      </c>
    </row>
    <row r="54" spans="1:18" ht="13">
      <c r="A54" s="2" t="s">
        <v>272</v>
      </c>
      <c r="B54" s="18">
        <f ca="1">IFERROR(__xludf.DUMMYFUNCTION("IF(C54="""","""",VALUE(REGEXEXTRACT(C54,""app/(\d+)"")))"),1842470)</f>
        <v>1842470</v>
      </c>
      <c r="C54" s="30" t="s">
        <v>273</v>
      </c>
      <c r="D54" s="18" t="s">
        <v>275</v>
      </c>
      <c r="E54" s="23">
        <v>45693</v>
      </c>
      <c r="F54" s="18">
        <v>1</v>
      </c>
      <c r="G54" s="18">
        <v>1</v>
      </c>
      <c r="H54" s="24">
        <v>6.99</v>
      </c>
      <c r="I54" s="8">
        <v>0</v>
      </c>
      <c r="J54" s="8">
        <v>0</v>
      </c>
      <c r="K54" s="8">
        <v>6.99</v>
      </c>
      <c r="L54" s="18">
        <v>1</v>
      </c>
      <c r="M54" s="18">
        <v>1</v>
      </c>
      <c r="N54" s="18">
        <v>1</v>
      </c>
      <c r="O54" s="18">
        <v>1</v>
      </c>
      <c r="P54" s="26">
        <v>0</v>
      </c>
      <c r="Q54" s="18">
        <v>116</v>
      </c>
      <c r="R54" s="18">
        <v>72.98</v>
      </c>
    </row>
    <row r="55" spans="1:18" ht="13">
      <c r="A55" s="2" t="s">
        <v>276</v>
      </c>
      <c r="B55" s="18">
        <f ca="1">IFERROR(__xludf.DUMMYFUNCTION("IF(C55="""","""",VALUE(REGEXEXTRACT(C55,""app/(\d+)"")))"),3355800)</f>
        <v>3355800</v>
      </c>
      <c r="C55" s="30" t="s">
        <v>278</v>
      </c>
      <c r="D55" s="18" t="s">
        <v>279</v>
      </c>
      <c r="E55" s="23">
        <v>45814</v>
      </c>
      <c r="F55" s="18">
        <v>1</v>
      </c>
      <c r="G55" s="18">
        <v>1</v>
      </c>
      <c r="H55" s="24">
        <v>14.99</v>
      </c>
      <c r="I55" s="8">
        <v>0</v>
      </c>
      <c r="J55" s="8">
        <v>0</v>
      </c>
      <c r="K55" s="8">
        <v>14.99</v>
      </c>
      <c r="L55" s="18">
        <v>1</v>
      </c>
      <c r="M55" s="18">
        <v>1</v>
      </c>
      <c r="N55" s="18">
        <v>3</v>
      </c>
      <c r="O55" s="18">
        <v>1</v>
      </c>
      <c r="P55" s="26">
        <v>1</v>
      </c>
      <c r="Q55" s="18">
        <v>387</v>
      </c>
      <c r="R55" s="18">
        <v>69.28</v>
      </c>
    </row>
    <row r="56" spans="1:18" ht="13">
      <c r="A56" s="2" t="s">
        <v>281</v>
      </c>
      <c r="B56" s="18">
        <f ca="1">IFERROR(__xludf.DUMMYFUNCTION("IF(C56="""","""",VALUE(REGEXEXTRACT(C56,""app/(\d+)"")))"),3098470)</f>
        <v>3098470</v>
      </c>
      <c r="C56" s="30" t="s">
        <v>282</v>
      </c>
      <c r="D56" s="18" t="s">
        <v>284</v>
      </c>
      <c r="E56" s="23">
        <v>45699</v>
      </c>
      <c r="F56" s="18">
        <v>1</v>
      </c>
      <c r="G56" s="18">
        <v>1</v>
      </c>
      <c r="H56" s="24">
        <v>17.989999999999998</v>
      </c>
      <c r="I56" s="8">
        <v>0</v>
      </c>
      <c r="J56" s="8">
        <v>0</v>
      </c>
      <c r="K56" s="8">
        <v>17.989999999999998</v>
      </c>
      <c r="L56" s="18">
        <v>2</v>
      </c>
      <c r="M56" s="18">
        <v>1</v>
      </c>
      <c r="N56" s="18">
        <v>3</v>
      </c>
      <c r="O56" s="18">
        <v>1</v>
      </c>
      <c r="P56" s="26">
        <v>0</v>
      </c>
      <c r="Q56" s="18">
        <v>474</v>
      </c>
      <c r="R56" s="18">
        <v>82.39</v>
      </c>
    </row>
    <row r="57" spans="1:18" ht="13">
      <c r="A57" s="2" t="s">
        <v>285</v>
      </c>
      <c r="B57" s="18">
        <f ca="1">IFERROR(__xludf.DUMMYFUNCTION("IF(C57="""","""",VALUE(REGEXEXTRACT(C57,""app/(\d+)"")))"),2786550)</f>
        <v>2786550</v>
      </c>
      <c r="C57" s="33" t="s">
        <v>286</v>
      </c>
      <c r="D57" s="40" t="s">
        <v>288</v>
      </c>
      <c r="E57" s="23">
        <v>45981</v>
      </c>
      <c r="F57" s="18">
        <v>3</v>
      </c>
      <c r="G57" s="18">
        <v>1</v>
      </c>
      <c r="H57" s="24">
        <v>7.99</v>
      </c>
      <c r="I57" s="37">
        <v>46157</v>
      </c>
      <c r="J57" s="8">
        <v>1</v>
      </c>
      <c r="K57" s="8">
        <v>9.99</v>
      </c>
      <c r="L57" s="18">
        <v>1</v>
      </c>
      <c r="M57" s="18">
        <v>1</v>
      </c>
      <c r="N57" s="18">
        <v>3</v>
      </c>
      <c r="O57" s="18">
        <v>2</v>
      </c>
      <c r="P57" s="26">
        <v>1</v>
      </c>
      <c r="Q57" s="18">
        <v>922</v>
      </c>
      <c r="R57" s="18">
        <v>82.53</v>
      </c>
    </row>
    <row r="58" spans="1:18" ht="13">
      <c r="A58" s="2" t="s">
        <v>289</v>
      </c>
      <c r="B58" s="18">
        <f ca="1">IFERROR(__xludf.DUMMYFUNCTION("IF(C58="""","""",VALUE(REGEXEXTRACT(C58,""app/(\d+)"")))"),4026480)</f>
        <v>4026480</v>
      </c>
      <c r="C58" s="33" t="s">
        <v>291</v>
      </c>
      <c r="D58" s="34" t="s">
        <v>293</v>
      </c>
      <c r="E58" s="23">
        <v>46122</v>
      </c>
      <c r="F58" s="18">
        <v>4</v>
      </c>
      <c r="G58" s="18">
        <v>1</v>
      </c>
      <c r="H58" s="40">
        <v>14.99</v>
      </c>
      <c r="I58" s="8">
        <v>0</v>
      </c>
      <c r="J58" s="8">
        <v>0</v>
      </c>
      <c r="K58" s="8">
        <v>14.99</v>
      </c>
      <c r="L58" s="18">
        <v>1</v>
      </c>
      <c r="M58" s="18">
        <v>1</v>
      </c>
      <c r="N58" s="18">
        <v>3</v>
      </c>
      <c r="O58" s="18">
        <v>1</v>
      </c>
      <c r="P58" s="26">
        <v>1</v>
      </c>
      <c r="Q58" s="18">
        <v>357</v>
      </c>
      <c r="R58" s="18">
        <v>81.03</v>
      </c>
    </row>
    <row r="59" spans="1:18" ht="13">
      <c r="A59" s="2" t="s">
        <v>295</v>
      </c>
      <c r="B59" s="18">
        <f ca="1">IFERROR(__xludf.DUMMYFUNCTION("IF(C59="""","""",VALUE(REGEXEXTRACT(C59,""app/(\d+)"")))"),4243690)</f>
        <v>4243690</v>
      </c>
      <c r="C59" s="33" t="s">
        <v>296</v>
      </c>
      <c r="D59" s="40" t="s">
        <v>298</v>
      </c>
      <c r="E59" s="23">
        <v>46108</v>
      </c>
      <c r="F59" s="18">
        <v>1</v>
      </c>
      <c r="G59" s="18">
        <v>1</v>
      </c>
      <c r="H59" s="24">
        <v>4.99</v>
      </c>
      <c r="I59" s="8">
        <v>0</v>
      </c>
      <c r="J59" s="8">
        <v>0</v>
      </c>
      <c r="K59" s="8">
        <v>4.99</v>
      </c>
      <c r="L59" s="18">
        <v>1</v>
      </c>
      <c r="M59" s="18">
        <v>1</v>
      </c>
      <c r="N59" s="18">
        <v>3</v>
      </c>
      <c r="O59" s="18">
        <v>2</v>
      </c>
      <c r="P59" s="26">
        <v>0</v>
      </c>
      <c r="Q59" s="18">
        <v>718</v>
      </c>
      <c r="R59" s="18">
        <v>66.569999999999993</v>
      </c>
    </row>
    <row r="60" spans="1:18" ht="13">
      <c r="A60" s="2" t="s">
        <v>299</v>
      </c>
      <c r="B60" s="18">
        <f ca="1">IFERROR(__xludf.DUMMYFUNCTION("IF(C60="""","""",VALUE(REGEXEXTRACT(C60,""app/(\d+)"")))"),3079970)</f>
        <v>3079970</v>
      </c>
      <c r="C60" s="30" t="s">
        <v>300</v>
      </c>
      <c r="D60" s="18" t="s">
        <v>302</v>
      </c>
      <c r="E60" s="23">
        <v>45638</v>
      </c>
      <c r="F60" s="18">
        <v>1</v>
      </c>
      <c r="G60" s="18">
        <v>1</v>
      </c>
      <c r="H60" s="40">
        <v>14.99</v>
      </c>
      <c r="I60" s="37">
        <v>45653</v>
      </c>
      <c r="J60" s="8">
        <v>1</v>
      </c>
      <c r="K60" s="25">
        <v>12.99</v>
      </c>
      <c r="L60" s="18">
        <v>1</v>
      </c>
      <c r="M60" s="18">
        <v>1</v>
      </c>
      <c r="N60" s="18">
        <v>3</v>
      </c>
      <c r="O60" s="18">
        <v>1</v>
      </c>
      <c r="P60" s="26">
        <v>1</v>
      </c>
      <c r="Q60" s="18">
        <v>274</v>
      </c>
      <c r="R60" s="18">
        <v>76.2</v>
      </c>
    </row>
    <row r="61" spans="1:18" ht="13">
      <c r="A61" s="2" t="s">
        <v>304</v>
      </c>
      <c r="B61" s="18">
        <f ca="1">IFERROR(__xludf.DUMMYFUNCTION("IF(C61="""","""",VALUE(REGEXEXTRACT(C61,""app/(\d+)"")))"),1442430)</f>
        <v>1442430</v>
      </c>
      <c r="C61" s="64" t="s">
        <v>305</v>
      </c>
      <c r="D61" s="64" t="s">
        <v>307</v>
      </c>
      <c r="E61" s="65">
        <v>45988</v>
      </c>
      <c r="F61" s="66">
        <v>1</v>
      </c>
      <c r="G61" s="66">
        <v>1</v>
      </c>
      <c r="H61" s="67">
        <v>24.99</v>
      </c>
      <c r="I61" s="68">
        <v>45720</v>
      </c>
      <c r="J61" s="69">
        <v>2</v>
      </c>
      <c r="K61" s="70">
        <v>24.99</v>
      </c>
      <c r="L61" s="66">
        <v>2</v>
      </c>
      <c r="M61" s="66">
        <v>1</v>
      </c>
      <c r="N61" s="66">
        <v>3</v>
      </c>
      <c r="O61" s="66">
        <v>2</v>
      </c>
      <c r="P61" s="72">
        <v>1</v>
      </c>
      <c r="Q61" s="66">
        <v>4144</v>
      </c>
      <c r="R61" s="66">
        <v>75.84</v>
      </c>
    </row>
    <row r="62" spans="1:18" ht="13">
      <c r="A62" s="2" t="s">
        <v>309</v>
      </c>
      <c r="B62" s="18">
        <f ca="1">IFERROR(__xludf.DUMMYFUNCTION("IF(C62="""","""",VALUE(REGEXEXTRACT(C62,""app/(\d+)"")))"),2453920)</f>
        <v>2453920</v>
      </c>
      <c r="C62" s="30" t="s">
        <v>310</v>
      </c>
      <c r="D62" s="18" t="s">
        <v>312</v>
      </c>
      <c r="E62" s="23">
        <v>45366</v>
      </c>
      <c r="F62" s="18">
        <v>1</v>
      </c>
      <c r="G62" s="18">
        <v>1</v>
      </c>
      <c r="H62" s="40">
        <v>9.94</v>
      </c>
      <c r="I62" s="37">
        <v>45502</v>
      </c>
      <c r="J62" s="8">
        <v>1</v>
      </c>
      <c r="K62" s="25">
        <v>6.66</v>
      </c>
      <c r="L62" s="18">
        <v>1</v>
      </c>
      <c r="M62" s="18">
        <v>1</v>
      </c>
      <c r="N62" s="18">
        <v>1</v>
      </c>
      <c r="O62" s="18">
        <v>1</v>
      </c>
      <c r="P62" s="26">
        <v>0</v>
      </c>
      <c r="Q62" s="18">
        <v>191</v>
      </c>
      <c r="R62" s="18">
        <v>68.930000000000007</v>
      </c>
    </row>
    <row r="63" spans="1:18" ht="13">
      <c r="A63" s="2" t="s">
        <v>314</v>
      </c>
      <c r="B63" s="18">
        <f ca="1">IFERROR(__xludf.DUMMYFUNCTION("IF(C63="""","""",VALUE(REGEXEXTRACT(C63,""app/(\d+)"")))"),3098140)</f>
        <v>3098140</v>
      </c>
      <c r="C63" s="30" t="s">
        <v>315</v>
      </c>
      <c r="D63" s="18" t="s">
        <v>316</v>
      </c>
      <c r="E63" s="23">
        <v>45953</v>
      </c>
      <c r="F63" s="18">
        <v>3</v>
      </c>
      <c r="G63" s="18">
        <v>1</v>
      </c>
      <c r="H63" s="24">
        <v>19.989999999999998</v>
      </c>
      <c r="I63" s="8">
        <v>0</v>
      </c>
      <c r="J63" s="8">
        <v>0</v>
      </c>
      <c r="K63" s="8">
        <v>19.989999999999998</v>
      </c>
      <c r="L63" s="18">
        <v>2</v>
      </c>
      <c r="M63" s="18">
        <v>1</v>
      </c>
      <c r="N63" s="18">
        <v>2</v>
      </c>
      <c r="O63" s="18">
        <v>1</v>
      </c>
      <c r="P63" s="26">
        <v>0</v>
      </c>
      <c r="Q63" s="18">
        <v>1713</v>
      </c>
      <c r="R63" s="18">
        <v>60.41</v>
      </c>
    </row>
    <row r="64" spans="1:18" ht="13">
      <c r="A64" s="2" t="s">
        <v>318</v>
      </c>
      <c r="B64" s="18">
        <f ca="1">IFERROR(__xludf.DUMMYFUNCTION("IF(C64="""","""",VALUE(REGEXEXTRACT(C64,""app/(\d+)"")))"),2928280)</f>
        <v>2928280</v>
      </c>
      <c r="C64" s="30" t="s">
        <v>319</v>
      </c>
      <c r="D64" s="18" t="s">
        <v>321</v>
      </c>
      <c r="E64" s="23">
        <v>45422</v>
      </c>
      <c r="F64" s="18">
        <v>1</v>
      </c>
      <c r="G64" s="18">
        <v>2</v>
      </c>
      <c r="H64" s="40">
        <v>4.99</v>
      </c>
      <c r="I64" s="37">
        <v>45783</v>
      </c>
      <c r="J64" s="8">
        <v>2</v>
      </c>
      <c r="K64" s="25">
        <v>1.99</v>
      </c>
      <c r="L64" s="18">
        <v>1</v>
      </c>
      <c r="M64" s="18">
        <v>1</v>
      </c>
      <c r="N64" s="18">
        <v>1</v>
      </c>
      <c r="O64" s="18">
        <v>2</v>
      </c>
      <c r="P64" s="26">
        <v>0</v>
      </c>
      <c r="Q64" s="18">
        <v>2135</v>
      </c>
      <c r="R64" s="18">
        <v>70.599999999999994</v>
      </c>
    </row>
    <row r="65" spans="1:18" ht="13">
      <c r="A65" s="2" t="s">
        <v>322</v>
      </c>
      <c r="B65" s="18">
        <f ca="1">IFERROR(__xludf.DUMMYFUNCTION("IF(C65="""","""",VALUE(REGEXEXTRACT(C65,""app/(\d+)"")))"),2844700)</f>
        <v>2844700</v>
      </c>
      <c r="C65" s="30" t="s">
        <v>323</v>
      </c>
      <c r="D65" s="18" t="s">
        <v>325</v>
      </c>
      <c r="E65" s="23">
        <v>45437</v>
      </c>
      <c r="F65" s="18">
        <v>2</v>
      </c>
      <c r="G65" s="18">
        <v>1</v>
      </c>
      <c r="H65" s="24">
        <v>3.49</v>
      </c>
      <c r="I65" s="8">
        <v>0</v>
      </c>
      <c r="J65" s="8">
        <v>0</v>
      </c>
      <c r="K65" s="8">
        <v>3.49</v>
      </c>
      <c r="L65" s="18">
        <v>1</v>
      </c>
      <c r="M65" s="18">
        <v>1</v>
      </c>
      <c r="N65" s="18">
        <v>4</v>
      </c>
      <c r="O65" s="18">
        <v>1</v>
      </c>
      <c r="P65" s="26">
        <v>0</v>
      </c>
      <c r="Q65" s="18">
        <v>514</v>
      </c>
      <c r="R65" s="18">
        <v>76.87</v>
      </c>
    </row>
    <row r="66" spans="1:18" ht="13">
      <c r="A66" s="2" t="s">
        <v>327</v>
      </c>
      <c r="B66" s="18">
        <f ca="1">IFERROR(__xludf.DUMMYFUNCTION("IF(C66="""","""",VALUE(REGEXEXTRACT(C66,""app/(\d+)"")))"),4746070)</f>
        <v>4746070</v>
      </c>
      <c r="C66" s="30" t="s">
        <v>328</v>
      </c>
      <c r="D66" s="18" t="s">
        <v>329</v>
      </c>
      <c r="E66" s="23">
        <v>46188</v>
      </c>
      <c r="F66" s="18">
        <v>1</v>
      </c>
      <c r="G66" s="18">
        <v>1</v>
      </c>
      <c r="H66" s="24">
        <v>10</v>
      </c>
      <c r="I66" s="37">
        <v>46254</v>
      </c>
      <c r="J66" s="8">
        <v>1</v>
      </c>
      <c r="K66" s="8">
        <v>7.5</v>
      </c>
      <c r="L66" s="18">
        <v>1</v>
      </c>
      <c r="M66" s="18">
        <v>1</v>
      </c>
      <c r="N66" s="18">
        <v>2</v>
      </c>
      <c r="O66" s="18">
        <v>1</v>
      </c>
      <c r="P66" s="26">
        <v>1</v>
      </c>
      <c r="Q66" s="18">
        <v>205</v>
      </c>
      <c r="R66" s="18">
        <v>79.03</v>
      </c>
    </row>
    <row r="67" spans="1:18" ht="13">
      <c r="A67" s="2" t="s">
        <v>331</v>
      </c>
      <c r="B67" s="18">
        <f ca="1">IFERROR(__xludf.DUMMYFUNCTION("IF(C67="""","""",VALUE(REGEXEXTRACT(C67,""app/(\d+)"")))"),3751730)</f>
        <v>3751730</v>
      </c>
      <c r="C67" s="30" t="s">
        <v>332</v>
      </c>
      <c r="D67" s="18" t="s">
        <v>334</v>
      </c>
      <c r="E67" s="23">
        <v>45877</v>
      </c>
      <c r="F67" s="18">
        <v>4</v>
      </c>
      <c r="G67" s="18">
        <v>1</v>
      </c>
      <c r="H67" s="24">
        <v>3.99</v>
      </c>
      <c r="I67" s="8">
        <v>0</v>
      </c>
      <c r="J67" s="8">
        <v>0</v>
      </c>
      <c r="K67" s="8">
        <v>3.99</v>
      </c>
      <c r="L67" s="18">
        <v>1</v>
      </c>
      <c r="M67" s="18">
        <v>1</v>
      </c>
      <c r="N67" s="18">
        <v>1</v>
      </c>
      <c r="O67" s="18">
        <v>1</v>
      </c>
      <c r="P67" s="26">
        <v>0</v>
      </c>
      <c r="Q67" s="18">
        <v>685</v>
      </c>
      <c r="R67" s="18">
        <v>79.94</v>
      </c>
    </row>
    <row r="68" spans="1:18" ht="13">
      <c r="A68" s="2" t="s">
        <v>335</v>
      </c>
      <c r="B68" s="18">
        <f ca="1">IFERROR(__xludf.DUMMYFUNCTION("IF(C68="""","""",VALUE(REGEXEXTRACT(C68,""app/(\d+)"")))"),2871390)</f>
        <v>2871390</v>
      </c>
      <c r="C68" s="33" t="s">
        <v>336</v>
      </c>
      <c r="D68" s="55" t="s">
        <v>338</v>
      </c>
      <c r="E68" s="23">
        <v>46052</v>
      </c>
      <c r="F68" s="18">
        <v>1</v>
      </c>
      <c r="G68" s="18">
        <v>1</v>
      </c>
      <c r="H68" s="24">
        <v>7.99</v>
      </c>
      <c r="I68" s="8">
        <v>0</v>
      </c>
      <c r="J68" s="8">
        <v>0</v>
      </c>
      <c r="K68" s="8">
        <v>7.99</v>
      </c>
      <c r="L68" s="18">
        <v>1</v>
      </c>
      <c r="M68" s="18">
        <v>1</v>
      </c>
      <c r="N68" s="18">
        <v>3</v>
      </c>
      <c r="O68" s="18">
        <v>1</v>
      </c>
      <c r="P68" s="26">
        <v>0</v>
      </c>
      <c r="Q68" s="18">
        <v>575</v>
      </c>
      <c r="R68" s="18">
        <v>76.31</v>
      </c>
    </row>
    <row r="69" spans="1:18" ht="13">
      <c r="A69" s="2" t="s">
        <v>340</v>
      </c>
      <c r="B69" s="18">
        <f ca="1">IFERROR(__xludf.DUMMYFUNCTION("IF(C69="""","""",VALUE(REGEXEXTRACT(C69,""app/(\d+)"")))"),1812450)</f>
        <v>1812450</v>
      </c>
      <c r="C69" s="30" t="s">
        <v>342</v>
      </c>
      <c r="D69" s="18" t="s">
        <v>344</v>
      </c>
      <c r="E69" s="23">
        <v>45405</v>
      </c>
      <c r="F69" s="18">
        <v>1</v>
      </c>
      <c r="G69" s="18">
        <v>1</v>
      </c>
      <c r="H69" s="24">
        <v>29.99</v>
      </c>
      <c r="I69" s="8">
        <v>0</v>
      </c>
      <c r="J69" s="8">
        <v>0</v>
      </c>
      <c r="K69" s="8">
        <v>29.99</v>
      </c>
      <c r="L69" s="18">
        <v>2</v>
      </c>
      <c r="M69" s="18">
        <v>2</v>
      </c>
      <c r="N69" s="18">
        <v>2</v>
      </c>
      <c r="O69" s="18">
        <v>2</v>
      </c>
      <c r="P69" s="26">
        <v>1</v>
      </c>
      <c r="Q69" s="18">
        <v>21203</v>
      </c>
      <c r="R69" s="18">
        <v>78.75</v>
      </c>
    </row>
    <row r="70" spans="1:18" ht="13">
      <c r="A70" s="2" t="s">
        <v>345</v>
      </c>
      <c r="B70" s="18">
        <f ca="1">IFERROR(__xludf.DUMMYFUNCTION("IF(C70="""","""",VALUE(REGEXEXTRACT(C70,""app/(\d+)"")))"),3036010)</f>
        <v>3036010</v>
      </c>
      <c r="C70" s="33" t="s">
        <v>346</v>
      </c>
      <c r="D70" s="55" t="s">
        <v>348</v>
      </c>
      <c r="E70" s="23">
        <v>45800</v>
      </c>
      <c r="F70" s="18">
        <v>1</v>
      </c>
      <c r="G70" s="18">
        <v>1</v>
      </c>
      <c r="H70" s="24">
        <v>9.99</v>
      </c>
      <c r="I70" s="8">
        <v>0</v>
      </c>
      <c r="J70" s="8">
        <v>0</v>
      </c>
      <c r="K70" s="84">
        <v>9.99</v>
      </c>
      <c r="L70" s="18">
        <v>1</v>
      </c>
      <c r="M70" s="18">
        <v>1</v>
      </c>
      <c r="N70" s="18">
        <v>4</v>
      </c>
      <c r="O70" s="18">
        <v>1</v>
      </c>
      <c r="P70" s="26">
        <v>0</v>
      </c>
      <c r="Q70" s="18">
        <v>760</v>
      </c>
      <c r="R70" s="18">
        <v>73.430000000000007</v>
      </c>
    </row>
    <row r="71" spans="1:18" ht="13">
      <c r="A71" s="2" t="s">
        <v>350</v>
      </c>
      <c r="B71" s="18">
        <f ca="1">IFERROR(__xludf.DUMMYFUNCTION("IF(C71="""","""",VALUE(REGEXEXTRACT(C71,""app/(\d+)"")))"),2075100)</f>
        <v>2075100</v>
      </c>
      <c r="C71" s="33" t="s">
        <v>351</v>
      </c>
      <c r="D71" s="34" t="s">
        <v>353</v>
      </c>
      <c r="E71" s="23">
        <v>45722</v>
      </c>
      <c r="F71" s="18">
        <v>2</v>
      </c>
      <c r="G71" s="18">
        <v>1</v>
      </c>
      <c r="H71" s="24">
        <v>39.99</v>
      </c>
      <c r="I71" s="8">
        <v>0</v>
      </c>
      <c r="J71" s="8">
        <v>0</v>
      </c>
      <c r="K71" s="8">
        <v>39.99</v>
      </c>
      <c r="L71" s="18">
        <v>3</v>
      </c>
      <c r="M71" s="18">
        <v>1</v>
      </c>
      <c r="N71" s="18">
        <v>1</v>
      </c>
      <c r="O71" s="18">
        <v>1</v>
      </c>
      <c r="P71" s="26">
        <v>1</v>
      </c>
      <c r="Q71" s="18">
        <v>756</v>
      </c>
      <c r="R71" s="18">
        <v>62.92</v>
      </c>
    </row>
    <row r="72" spans="1:18" ht="13">
      <c r="A72" s="2" t="s">
        <v>355</v>
      </c>
      <c r="B72" s="18">
        <f ca="1">IFERROR(__xludf.DUMMYFUNCTION("IF(C72="""","""",VALUE(REGEXEXTRACT(C72,""app/(\d+)"")))"),4294620)</f>
        <v>4294620</v>
      </c>
      <c r="C72" s="30" t="s">
        <v>356</v>
      </c>
      <c r="D72" s="18" t="s">
        <v>358</v>
      </c>
      <c r="E72" s="23">
        <v>46084</v>
      </c>
      <c r="F72" s="18">
        <v>1</v>
      </c>
      <c r="G72" s="18">
        <v>1</v>
      </c>
      <c r="H72" s="40">
        <v>12.99</v>
      </c>
      <c r="I72" s="37">
        <v>46135</v>
      </c>
      <c r="J72" s="8">
        <v>2</v>
      </c>
      <c r="K72" s="25">
        <v>17.899999999999999</v>
      </c>
      <c r="L72" s="18">
        <v>1</v>
      </c>
      <c r="M72" s="18">
        <v>1</v>
      </c>
      <c r="N72" s="18">
        <v>3</v>
      </c>
      <c r="O72" s="18">
        <v>1</v>
      </c>
      <c r="P72" s="26">
        <v>1</v>
      </c>
      <c r="Q72" s="18">
        <v>131</v>
      </c>
      <c r="R72" s="18">
        <v>80.27</v>
      </c>
    </row>
    <row r="73" spans="1:18" ht="13">
      <c r="A73" s="2" t="s">
        <v>360</v>
      </c>
      <c r="B73" s="18">
        <f ca="1">IFERROR(__xludf.DUMMYFUNCTION("IF(C73="""","""",VALUE(REGEXEXTRACT(C73,""app/(\d+)"")))"),2181950)</f>
        <v>2181950</v>
      </c>
      <c r="C73" s="33" t="s">
        <v>361</v>
      </c>
      <c r="D73" s="18" t="s">
        <v>362</v>
      </c>
      <c r="E73" s="23">
        <v>45484</v>
      </c>
      <c r="F73" s="18">
        <v>3</v>
      </c>
      <c r="G73" s="18">
        <v>1</v>
      </c>
      <c r="H73" s="24">
        <v>12.99</v>
      </c>
      <c r="I73" s="8">
        <v>0</v>
      </c>
      <c r="J73" s="8">
        <v>0</v>
      </c>
      <c r="K73" s="8">
        <v>12.99</v>
      </c>
      <c r="L73" s="18">
        <v>1</v>
      </c>
      <c r="M73" s="18">
        <v>1</v>
      </c>
      <c r="N73" s="18">
        <v>4</v>
      </c>
      <c r="O73" s="18">
        <v>1</v>
      </c>
      <c r="P73" s="26">
        <v>0</v>
      </c>
      <c r="Q73" s="18">
        <v>289</v>
      </c>
      <c r="R73" s="18">
        <v>80.73</v>
      </c>
    </row>
    <row r="74" spans="1:18" ht="13">
      <c r="A74" s="2" t="s">
        <v>364</v>
      </c>
      <c r="B74" s="18">
        <f ca="1">IFERROR(__xludf.DUMMYFUNCTION("IF(C74="""","""",VALUE(REGEXEXTRACT(C74,""app/(\d+)"")))"),3405690)</f>
        <v>3405690</v>
      </c>
      <c r="C74" s="30" t="s">
        <v>365</v>
      </c>
      <c r="D74" s="18" t="s">
        <v>367</v>
      </c>
      <c r="E74" s="23">
        <v>45925</v>
      </c>
      <c r="F74" s="18">
        <v>1</v>
      </c>
      <c r="G74" s="18">
        <v>2</v>
      </c>
      <c r="H74" s="24">
        <v>69.989999999999995</v>
      </c>
      <c r="I74" s="37">
        <v>45995</v>
      </c>
      <c r="J74" s="8">
        <v>9</v>
      </c>
      <c r="K74" s="25">
        <v>69.989999999999995</v>
      </c>
      <c r="L74" s="18">
        <v>3</v>
      </c>
      <c r="M74" s="18">
        <v>2</v>
      </c>
      <c r="N74" s="18">
        <v>3</v>
      </c>
      <c r="O74" s="18">
        <v>2</v>
      </c>
      <c r="P74" s="26">
        <v>1</v>
      </c>
      <c r="Q74" s="18">
        <v>100218</v>
      </c>
      <c r="R74" s="18">
        <v>50.29</v>
      </c>
    </row>
    <row r="75" spans="1:18" ht="13">
      <c r="A75" s="2" t="s">
        <v>368</v>
      </c>
      <c r="B75" s="18">
        <f ca="1">IFERROR(__xludf.DUMMYFUNCTION("IF(C75="""","""",VALUE(REGEXEXTRACT(C75,""app/(\d+)"")))"),2736020)</f>
        <v>2736020</v>
      </c>
      <c r="C75" s="30" t="s">
        <v>369</v>
      </c>
      <c r="D75" s="18" t="s">
        <v>371</v>
      </c>
      <c r="E75" s="23">
        <v>45380</v>
      </c>
      <c r="F75" s="18">
        <v>1</v>
      </c>
      <c r="G75" s="18">
        <v>2</v>
      </c>
      <c r="H75" s="24">
        <v>9.99</v>
      </c>
      <c r="I75" s="8">
        <v>0</v>
      </c>
      <c r="J75" s="8">
        <v>0</v>
      </c>
      <c r="K75" s="8">
        <v>9.99</v>
      </c>
      <c r="L75" s="18">
        <v>1</v>
      </c>
      <c r="M75" s="18">
        <v>1</v>
      </c>
      <c r="N75" s="18">
        <v>1</v>
      </c>
      <c r="O75" s="18">
        <v>1</v>
      </c>
      <c r="P75" s="26">
        <v>0</v>
      </c>
      <c r="Q75" s="18">
        <v>423</v>
      </c>
      <c r="R75" s="18">
        <v>85.77</v>
      </c>
    </row>
    <row r="76" spans="1:18" ht="13">
      <c r="A76" s="2" t="s">
        <v>373</v>
      </c>
      <c r="B76" s="18">
        <f ca="1">IFERROR(__xludf.DUMMYFUNCTION("IF(C76="""","""",VALUE(REGEXEXTRACT(C76,""app/(\d+)"")))"),3487060)</f>
        <v>3487060</v>
      </c>
      <c r="C76" s="33" t="s">
        <v>374</v>
      </c>
      <c r="D76" s="40" t="s">
        <v>376</v>
      </c>
      <c r="E76" s="23">
        <v>46058</v>
      </c>
      <c r="F76" s="18">
        <v>1</v>
      </c>
      <c r="G76" s="18">
        <v>1</v>
      </c>
      <c r="H76" s="24">
        <v>19.989999999999998</v>
      </c>
      <c r="I76" s="8">
        <v>0</v>
      </c>
      <c r="J76" s="8">
        <v>0</v>
      </c>
      <c r="K76" s="8">
        <v>19.989999999999998</v>
      </c>
      <c r="L76" s="18">
        <v>2</v>
      </c>
      <c r="M76" s="18">
        <v>1</v>
      </c>
      <c r="N76" s="18">
        <v>3</v>
      </c>
      <c r="O76" s="18">
        <v>2</v>
      </c>
      <c r="P76" s="26">
        <v>1</v>
      </c>
      <c r="Q76" s="18">
        <v>492</v>
      </c>
      <c r="R76" s="18">
        <v>51.37</v>
      </c>
    </row>
    <row r="77" spans="1:18" ht="13">
      <c r="A77" s="2" t="s">
        <v>377</v>
      </c>
      <c r="B77" s="18">
        <f ca="1">IFERROR(__xludf.DUMMYFUNCTION("IF(C77="""","""",VALUE(REGEXEXTRACT(C77,""app/(\d+)"")))"),2738870)</f>
        <v>2738870</v>
      </c>
      <c r="C77" s="30" t="s">
        <v>378</v>
      </c>
      <c r="D77" s="18" t="s">
        <v>380</v>
      </c>
      <c r="E77" s="23">
        <v>45447</v>
      </c>
      <c r="F77" s="18">
        <v>1</v>
      </c>
      <c r="G77" s="18">
        <v>2</v>
      </c>
      <c r="H77" s="24">
        <v>12.99</v>
      </c>
      <c r="I77" s="8">
        <v>0</v>
      </c>
      <c r="J77" s="8">
        <v>0</v>
      </c>
      <c r="K77" s="8">
        <v>12.99</v>
      </c>
      <c r="L77" s="18">
        <v>1</v>
      </c>
      <c r="M77" s="18">
        <v>1</v>
      </c>
      <c r="N77" s="18">
        <v>3</v>
      </c>
      <c r="O77" s="18">
        <v>1</v>
      </c>
      <c r="P77" s="26">
        <v>0</v>
      </c>
      <c r="Q77" s="18">
        <v>231</v>
      </c>
      <c r="R77" s="18">
        <v>49.48</v>
      </c>
    </row>
    <row r="78" spans="1:18" ht="13">
      <c r="A78" s="2" t="s">
        <v>381</v>
      </c>
      <c r="B78" s="18">
        <f ca="1">IFERROR(__xludf.DUMMYFUNCTION("IF(C78="""","""",VALUE(REGEXEXTRACT(C78,""app/(\d+)"")))"),2967320)</f>
        <v>2967320</v>
      </c>
      <c r="C78" s="30" t="s">
        <v>383</v>
      </c>
      <c r="D78" s="18" t="s">
        <v>385</v>
      </c>
      <c r="E78" s="23">
        <v>45695</v>
      </c>
      <c r="F78" s="18">
        <v>1</v>
      </c>
      <c r="G78" s="18">
        <v>1</v>
      </c>
      <c r="H78" s="24">
        <v>7.99</v>
      </c>
      <c r="I78" s="8">
        <v>0</v>
      </c>
      <c r="J78" s="8">
        <v>0</v>
      </c>
      <c r="K78" s="8">
        <v>7.99</v>
      </c>
      <c r="L78" s="18">
        <v>1</v>
      </c>
      <c r="M78" s="18">
        <v>1</v>
      </c>
      <c r="N78" s="18">
        <v>1</v>
      </c>
      <c r="O78" s="18">
        <v>1</v>
      </c>
      <c r="P78" s="26">
        <v>0</v>
      </c>
      <c r="Q78" s="18">
        <v>2092</v>
      </c>
      <c r="R78" s="18">
        <v>85.1</v>
      </c>
    </row>
    <row r="79" spans="1:18" ht="13">
      <c r="A79" s="2" t="s">
        <v>386</v>
      </c>
      <c r="B79" s="18">
        <f ca="1">IFERROR(__xludf.DUMMYFUNCTION("IF(C79="""","""",VALUE(REGEXEXTRACT(C79,""app/(\d+)"")))"),2779570)</f>
        <v>2779570</v>
      </c>
      <c r="C79" s="33" t="s">
        <v>387</v>
      </c>
      <c r="D79" s="34" t="s">
        <v>389</v>
      </c>
      <c r="E79" s="23">
        <v>45632</v>
      </c>
      <c r="F79" s="18">
        <v>3</v>
      </c>
      <c r="G79" s="18">
        <v>2</v>
      </c>
      <c r="H79" s="24">
        <v>9.99</v>
      </c>
      <c r="I79" s="8">
        <v>0</v>
      </c>
      <c r="J79" s="8">
        <v>0</v>
      </c>
      <c r="K79" s="84">
        <v>9.99</v>
      </c>
      <c r="L79" s="18">
        <v>1</v>
      </c>
      <c r="M79" s="18">
        <v>1</v>
      </c>
      <c r="N79" s="18">
        <v>1</v>
      </c>
      <c r="O79" s="18">
        <v>2</v>
      </c>
      <c r="P79" s="26">
        <v>0</v>
      </c>
      <c r="Q79" s="18">
        <v>404</v>
      </c>
      <c r="R79" s="18">
        <v>86</v>
      </c>
    </row>
    <row r="80" spans="1:18" ht="13">
      <c r="A80" s="2" t="s">
        <v>391</v>
      </c>
      <c r="B80" s="18">
        <f ca="1">IFERROR(__xludf.DUMMYFUNCTION("IF(C80="""","""",VALUE(REGEXEXTRACT(C80,""app/(\d+)"")))"),2903710)</f>
        <v>2903710</v>
      </c>
      <c r="C80" s="30" t="s">
        <v>392</v>
      </c>
      <c r="D80" s="18" t="s">
        <v>394</v>
      </c>
      <c r="E80" s="23">
        <v>45957</v>
      </c>
      <c r="F80" s="18">
        <v>1</v>
      </c>
      <c r="G80" s="18">
        <v>1</v>
      </c>
      <c r="H80" s="24">
        <v>10.99</v>
      </c>
      <c r="I80" s="8">
        <v>0</v>
      </c>
      <c r="J80" s="8">
        <v>0</v>
      </c>
      <c r="K80" s="8">
        <v>10.99</v>
      </c>
      <c r="L80" s="18">
        <v>1</v>
      </c>
      <c r="M80" s="18">
        <v>1</v>
      </c>
      <c r="N80" s="18">
        <v>1</v>
      </c>
      <c r="O80" s="18">
        <v>2</v>
      </c>
      <c r="P80" s="26">
        <v>1</v>
      </c>
      <c r="Q80" s="18">
        <v>514</v>
      </c>
      <c r="R80" s="18">
        <v>67.97</v>
      </c>
    </row>
    <row r="81" spans="1:18" ht="13">
      <c r="A81" s="2" t="s">
        <v>395</v>
      </c>
      <c r="B81" s="18">
        <f ca="1">IFERROR(__xludf.DUMMYFUNCTION("IF(C81="""","""",VALUE(REGEXEXTRACT(C81,""app/(\d+)"")))"),3013700)</f>
        <v>3013700</v>
      </c>
      <c r="C81" s="30" t="s">
        <v>397</v>
      </c>
      <c r="D81" s="18" t="s">
        <v>398</v>
      </c>
      <c r="E81" s="23">
        <v>45551</v>
      </c>
      <c r="F81" s="18">
        <v>4</v>
      </c>
      <c r="G81" s="18">
        <v>1</v>
      </c>
      <c r="H81" s="24">
        <v>12.99</v>
      </c>
      <c r="I81" s="8">
        <v>0</v>
      </c>
      <c r="J81" s="8">
        <v>0</v>
      </c>
      <c r="K81" s="8">
        <v>12.99</v>
      </c>
      <c r="L81" s="18">
        <v>1</v>
      </c>
      <c r="M81" s="18">
        <v>1</v>
      </c>
      <c r="N81" s="18">
        <v>3</v>
      </c>
      <c r="O81" s="18">
        <v>1</v>
      </c>
      <c r="P81" s="26">
        <v>1</v>
      </c>
      <c r="Q81" s="18">
        <v>197</v>
      </c>
      <c r="R81" s="18">
        <v>76.48</v>
      </c>
    </row>
    <row r="82" spans="1:18" ht="13">
      <c r="A82" s="2" t="s">
        <v>400</v>
      </c>
      <c r="B82" s="18">
        <f ca="1">IFERROR(__xludf.DUMMYFUNCTION("IF(C82="""","""",VALUE(REGEXEXTRACT(C82,""app/(\d+)"")))"),3694590)</f>
        <v>3694590</v>
      </c>
      <c r="C82" s="33" t="s">
        <v>401</v>
      </c>
      <c r="D82" s="34" t="s">
        <v>403</v>
      </c>
      <c r="E82" s="23">
        <v>45891</v>
      </c>
      <c r="F82" s="18">
        <v>1</v>
      </c>
      <c r="G82" s="18">
        <v>1</v>
      </c>
      <c r="H82" s="24">
        <v>4.99</v>
      </c>
      <c r="I82" s="37">
        <v>46035</v>
      </c>
      <c r="J82" s="8">
        <v>1</v>
      </c>
      <c r="K82" s="8">
        <v>5.99</v>
      </c>
      <c r="L82" s="18">
        <v>1</v>
      </c>
      <c r="M82" s="18">
        <v>1</v>
      </c>
      <c r="N82" s="18">
        <v>1</v>
      </c>
      <c r="O82" s="18">
        <v>1</v>
      </c>
      <c r="P82" s="26">
        <v>0</v>
      </c>
      <c r="Q82" s="18">
        <v>413</v>
      </c>
      <c r="R82" s="18">
        <v>87.39</v>
      </c>
    </row>
    <row r="83" spans="1:18" ht="13">
      <c r="A83" s="2" t="s">
        <v>404</v>
      </c>
      <c r="B83" s="18">
        <f ca="1">IFERROR(__xludf.DUMMYFUNCTION("IF(C83="""","""",VALUE(REGEXEXTRACT(C83,""app/(\d+)"")))"),1699230)</f>
        <v>1699230</v>
      </c>
      <c r="C83" s="30" t="s">
        <v>406</v>
      </c>
      <c r="D83" s="18" t="s">
        <v>407</v>
      </c>
      <c r="E83" s="23">
        <v>45988</v>
      </c>
      <c r="F83" s="18">
        <v>1</v>
      </c>
      <c r="G83" s="18">
        <v>1</v>
      </c>
      <c r="H83" s="24">
        <v>14.99</v>
      </c>
      <c r="I83" s="8">
        <v>0</v>
      </c>
      <c r="J83" s="8">
        <v>0</v>
      </c>
      <c r="K83" s="8">
        <v>14.99</v>
      </c>
      <c r="L83" s="18">
        <v>1</v>
      </c>
      <c r="M83" s="18">
        <v>1</v>
      </c>
      <c r="N83" s="18">
        <v>1</v>
      </c>
      <c r="O83" s="18">
        <v>1</v>
      </c>
      <c r="P83" s="26">
        <v>0</v>
      </c>
      <c r="Q83" s="18">
        <v>2651</v>
      </c>
      <c r="R83" s="18">
        <v>86.96</v>
      </c>
    </row>
    <row r="84" spans="1:18" ht="13">
      <c r="A84" s="2" t="s">
        <v>409</v>
      </c>
      <c r="B84" s="18">
        <f ca="1">IFERROR(__xludf.DUMMYFUNCTION("IF(C84="""","""",VALUE(REGEXEXTRACT(C84,""app/(\d+)"")))"),3779340)</f>
        <v>3779340</v>
      </c>
      <c r="C84" s="30" t="s">
        <v>410</v>
      </c>
      <c r="D84" s="18" t="s">
        <v>412</v>
      </c>
      <c r="E84" s="23">
        <v>45826</v>
      </c>
      <c r="F84" s="18">
        <v>3</v>
      </c>
      <c r="G84" s="18">
        <v>1</v>
      </c>
      <c r="H84" s="24">
        <v>4.99</v>
      </c>
      <c r="I84" s="8">
        <v>0</v>
      </c>
      <c r="J84" s="8">
        <v>0</v>
      </c>
      <c r="K84" s="8">
        <v>4.99</v>
      </c>
      <c r="L84" s="18">
        <v>1</v>
      </c>
      <c r="M84" s="18">
        <v>1</v>
      </c>
      <c r="N84" s="18">
        <v>4</v>
      </c>
      <c r="O84" s="18">
        <v>1</v>
      </c>
      <c r="P84" s="26">
        <v>0</v>
      </c>
      <c r="Q84" s="18">
        <v>102</v>
      </c>
      <c r="R84" s="18">
        <v>64.010000000000005</v>
      </c>
    </row>
    <row r="85" spans="1:18" ht="13">
      <c r="A85" s="2" t="s">
        <v>413</v>
      </c>
      <c r="B85" s="18">
        <f ca="1">IFERROR(__xludf.DUMMYFUNCTION("IF(C85="""","""",VALUE(REGEXEXTRACT(C85,""app/(\d+)"")))"),1278540)</f>
        <v>1278540</v>
      </c>
      <c r="C85" s="30" t="s">
        <v>415</v>
      </c>
      <c r="D85" s="18" t="s">
        <v>416</v>
      </c>
      <c r="E85" s="23">
        <v>45436</v>
      </c>
      <c r="F85" s="18">
        <v>1</v>
      </c>
      <c r="G85" s="18">
        <v>1</v>
      </c>
      <c r="H85" s="24">
        <v>19.989999999999998</v>
      </c>
      <c r="I85" s="8">
        <v>0</v>
      </c>
      <c r="J85" s="8">
        <v>0</v>
      </c>
      <c r="K85" s="8">
        <v>19.989999999999998</v>
      </c>
      <c r="L85" s="18">
        <v>2</v>
      </c>
      <c r="M85" s="18">
        <v>1</v>
      </c>
      <c r="N85" s="18">
        <v>3</v>
      </c>
      <c r="O85" s="18">
        <v>1</v>
      </c>
      <c r="P85" s="26">
        <v>0</v>
      </c>
      <c r="Q85" s="18">
        <v>4532</v>
      </c>
      <c r="R85" s="18">
        <v>87.44</v>
      </c>
    </row>
    <row r="86" spans="1:18" ht="13">
      <c r="A86" s="2" t="s">
        <v>418</v>
      </c>
      <c r="B86" s="18">
        <f ca="1">IFERROR(__xludf.DUMMYFUNCTION("IF(C86="""","""",VALUE(REGEXEXTRACT(C86,""app/(\d+)"")))"),3098070)</f>
        <v>3098070</v>
      </c>
      <c r="C86" s="30" t="s">
        <v>419</v>
      </c>
      <c r="D86" s="18" t="s">
        <v>421</v>
      </c>
      <c r="E86" s="23">
        <v>45705</v>
      </c>
      <c r="F86" s="18">
        <v>1</v>
      </c>
      <c r="G86" s="18">
        <v>1</v>
      </c>
      <c r="H86" s="24">
        <v>11.99</v>
      </c>
      <c r="I86" s="8">
        <v>0</v>
      </c>
      <c r="J86" s="8">
        <v>0</v>
      </c>
      <c r="K86" s="8">
        <v>11.99</v>
      </c>
      <c r="L86" s="18">
        <v>1</v>
      </c>
      <c r="M86" s="18">
        <v>1</v>
      </c>
      <c r="N86" s="18">
        <v>3</v>
      </c>
      <c r="O86" s="18">
        <v>1</v>
      </c>
      <c r="P86" s="26">
        <v>1</v>
      </c>
      <c r="Q86" s="18">
        <v>591</v>
      </c>
      <c r="R86" s="18">
        <v>73.47</v>
      </c>
    </row>
    <row r="87" spans="1:18" ht="13">
      <c r="A87" s="2" t="s">
        <v>422</v>
      </c>
      <c r="B87" s="18">
        <f ca="1">IFERROR(__xludf.DUMMYFUNCTION("IF(C87="""","""",VALUE(REGEXEXTRACT(C87,""app/(\d+)"")))"),2406370)</f>
        <v>2406370</v>
      </c>
      <c r="C87" s="30" t="s">
        <v>423</v>
      </c>
      <c r="D87" s="18" t="s">
        <v>425</v>
      </c>
      <c r="E87" s="23">
        <v>45953</v>
      </c>
      <c r="F87" s="18">
        <v>1</v>
      </c>
      <c r="G87" s="18">
        <v>1</v>
      </c>
      <c r="H87" s="24">
        <v>18.989999999999998</v>
      </c>
      <c r="I87" s="37">
        <v>45782</v>
      </c>
      <c r="J87" s="8">
        <v>1</v>
      </c>
      <c r="K87" s="25">
        <v>10.99</v>
      </c>
      <c r="L87" s="18">
        <v>2</v>
      </c>
      <c r="M87" s="18">
        <v>1</v>
      </c>
      <c r="N87" s="18">
        <v>2</v>
      </c>
      <c r="O87" s="18">
        <v>1</v>
      </c>
      <c r="P87" s="26">
        <v>1</v>
      </c>
      <c r="Q87" s="18">
        <v>552</v>
      </c>
      <c r="R87" s="18">
        <v>76.97</v>
      </c>
    </row>
    <row r="88" spans="1:18" ht="13">
      <c r="A88" s="2" t="s">
        <v>427</v>
      </c>
      <c r="B88" s="18">
        <f ca="1">IFERROR(__xludf.DUMMYFUNCTION("IF(C88="""","""",VALUE(REGEXEXTRACT(C88,""app/(\d+)"")))"),4134600)</f>
        <v>4134600</v>
      </c>
      <c r="C88" s="30" t="s">
        <v>428</v>
      </c>
      <c r="D88" s="18" t="s">
        <v>429</v>
      </c>
      <c r="E88" s="23">
        <v>46223</v>
      </c>
      <c r="F88" s="18">
        <v>1</v>
      </c>
      <c r="G88" s="18">
        <v>1</v>
      </c>
      <c r="H88" s="24">
        <v>14.99</v>
      </c>
      <c r="I88" s="8">
        <v>0</v>
      </c>
      <c r="J88" s="8">
        <v>0</v>
      </c>
      <c r="K88" s="8">
        <v>14.99</v>
      </c>
      <c r="L88" s="18">
        <v>1</v>
      </c>
      <c r="M88" s="18">
        <v>1</v>
      </c>
      <c r="N88" s="18">
        <v>3</v>
      </c>
      <c r="O88" s="18">
        <v>1</v>
      </c>
      <c r="P88" s="26">
        <v>1</v>
      </c>
      <c r="Q88" s="18">
        <v>331</v>
      </c>
      <c r="R88" s="18">
        <v>66.09</v>
      </c>
    </row>
    <row r="89" spans="1:18" ht="13">
      <c r="A89" s="2" t="s">
        <v>431</v>
      </c>
      <c r="B89" s="18">
        <f ca="1">IFERROR(__xludf.DUMMYFUNCTION("IF(C89="""","""",VALUE(REGEXEXTRACT(C89,""app/(\d+)"")))"),3604560)</f>
        <v>3604560</v>
      </c>
      <c r="C89" s="30" t="s">
        <v>432</v>
      </c>
      <c r="D89" s="18" t="s">
        <v>434</v>
      </c>
      <c r="E89" s="23">
        <v>45873</v>
      </c>
      <c r="F89" s="18">
        <v>1</v>
      </c>
      <c r="G89" s="18">
        <v>2</v>
      </c>
      <c r="H89" s="24">
        <v>12.49</v>
      </c>
      <c r="I89" s="8">
        <v>0</v>
      </c>
      <c r="J89" s="8">
        <v>0</v>
      </c>
      <c r="K89" s="8">
        <v>12.49</v>
      </c>
      <c r="L89" s="18">
        <v>1</v>
      </c>
      <c r="M89" s="18">
        <v>1</v>
      </c>
      <c r="N89" s="18">
        <v>3</v>
      </c>
      <c r="O89" s="18">
        <v>1</v>
      </c>
      <c r="P89" s="26">
        <v>1</v>
      </c>
      <c r="Q89" s="18">
        <v>322</v>
      </c>
      <c r="R89" s="18">
        <v>79.44</v>
      </c>
    </row>
    <row r="90" spans="1:18" ht="13">
      <c r="A90" s="2" t="s">
        <v>435</v>
      </c>
      <c r="B90" s="18">
        <f ca="1">IFERROR(__xludf.DUMMYFUNCTION("IF(C90="""","""",VALUE(REGEXEXTRACT(C90,""app/(\d+)"")))"),4685070)</f>
        <v>4685070</v>
      </c>
      <c r="C90" s="30" t="s">
        <v>436</v>
      </c>
      <c r="D90" s="18" t="s">
        <v>438</v>
      </c>
      <c r="E90" s="23">
        <v>46177</v>
      </c>
      <c r="F90" s="18">
        <v>2</v>
      </c>
      <c r="G90" s="18">
        <v>1</v>
      </c>
      <c r="H90" s="24">
        <v>2.99</v>
      </c>
      <c r="I90" s="8">
        <v>0</v>
      </c>
      <c r="J90" s="8">
        <v>0</v>
      </c>
      <c r="K90" s="8">
        <v>2.99</v>
      </c>
      <c r="L90" s="18">
        <v>1</v>
      </c>
      <c r="M90" s="18">
        <v>1</v>
      </c>
      <c r="N90" s="18">
        <v>4</v>
      </c>
      <c r="O90" s="18">
        <v>1</v>
      </c>
      <c r="P90" s="26">
        <v>0</v>
      </c>
      <c r="Q90" s="18">
        <v>341</v>
      </c>
      <c r="R90" s="18">
        <v>87.49</v>
      </c>
    </row>
    <row r="91" spans="1:18" ht="13">
      <c r="A91" s="2" t="s">
        <v>440</v>
      </c>
      <c r="B91" s="18">
        <f ca="1">IFERROR(__xludf.DUMMYFUNCTION("IF(C91="""","""",VALUE(REGEXEXTRACT(C91,""app/(\d+)"")))"),4249770)</f>
        <v>4249770</v>
      </c>
      <c r="C91" s="30" t="s">
        <v>441</v>
      </c>
      <c r="D91" s="18" t="s">
        <v>442</v>
      </c>
      <c r="E91" s="23">
        <v>46064</v>
      </c>
      <c r="F91" s="18">
        <v>3</v>
      </c>
      <c r="G91" s="18">
        <v>1</v>
      </c>
      <c r="H91" s="24">
        <v>5.99</v>
      </c>
      <c r="I91" s="8">
        <v>0</v>
      </c>
      <c r="J91" s="8">
        <v>0</v>
      </c>
      <c r="K91" s="8">
        <v>5.99</v>
      </c>
      <c r="L91" s="18">
        <v>1</v>
      </c>
      <c r="M91" s="18">
        <v>1</v>
      </c>
      <c r="N91" s="18">
        <v>4</v>
      </c>
      <c r="O91" s="18">
        <v>1</v>
      </c>
      <c r="P91" s="26">
        <v>0</v>
      </c>
      <c r="Q91" s="18">
        <v>909</v>
      </c>
      <c r="R91" s="18">
        <v>81.400000000000006</v>
      </c>
    </row>
    <row r="92" spans="1:18" ht="13">
      <c r="A92" s="2" t="s">
        <v>444</v>
      </c>
      <c r="B92" s="18">
        <f ca="1">IFERROR(__xludf.DUMMYFUNCTION("IF(C92="""","""",VALUE(REGEXEXTRACT(C92,""app/(\d+)"")))"),3300800)</f>
        <v>3300800</v>
      </c>
      <c r="C92" s="30" t="s">
        <v>445</v>
      </c>
      <c r="D92" s="18" t="s">
        <v>447</v>
      </c>
      <c r="E92" s="23">
        <v>46063</v>
      </c>
      <c r="F92" s="18">
        <v>3</v>
      </c>
      <c r="G92" s="18">
        <v>1</v>
      </c>
      <c r="H92" s="24">
        <v>3.99</v>
      </c>
      <c r="I92" s="8">
        <v>0</v>
      </c>
      <c r="J92" s="8">
        <v>0</v>
      </c>
      <c r="K92" s="8">
        <v>3.99</v>
      </c>
      <c r="L92" s="18">
        <v>1</v>
      </c>
      <c r="M92" s="18">
        <v>1</v>
      </c>
      <c r="N92" s="18">
        <v>4</v>
      </c>
      <c r="O92" s="18">
        <v>1</v>
      </c>
      <c r="P92" s="26">
        <v>0</v>
      </c>
      <c r="Q92" s="18">
        <v>1867</v>
      </c>
      <c r="R92" s="18">
        <v>92.76</v>
      </c>
    </row>
    <row r="93" spans="1:18" ht="13">
      <c r="A93" s="2" t="s">
        <v>448</v>
      </c>
      <c r="B93" s="18">
        <f ca="1">IFERROR(__xludf.DUMMYFUNCTION("IF(C93="""","""",VALUE(REGEXEXTRACT(C93,""app/(\d+)"")))"),3400650)</f>
        <v>3400650</v>
      </c>
      <c r="C93" s="30" t="s">
        <v>449</v>
      </c>
      <c r="D93" s="18" t="s">
        <v>451</v>
      </c>
      <c r="E93" s="23">
        <v>45761</v>
      </c>
      <c r="F93" s="18">
        <v>1</v>
      </c>
      <c r="G93" s="18">
        <v>1</v>
      </c>
      <c r="H93" s="24">
        <v>6.99</v>
      </c>
      <c r="I93" s="8">
        <v>0</v>
      </c>
      <c r="J93" s="8">
        <v>0</v>
      </c>
      <c r="K93" s="8">
        <v>6.99</v>
      </c>
      <c r="L93" s="18">
        <v>1</v>
      </c>
      <c r="M93" s="18">
        <v>1</v>
      </c>
      <c r="N93" s="18">
        <v>4</v>
      </c>
      <c r="O93" s="18">
        <v>1</v>
      </c>
      <c r="P93" s="26">
        <v>0</v>
      </c>
      <c r="Q93" s="18">
        <v>369</v>
      </c>
      <c r="R93" s="18">
        <v>85.94</v>
      </c>
    </row>
    <row r="94" spans="1:18" ht="13">
      <c r="A94" s="2" t="s">
        <v>453</v>
      </c>
      <c r="B94" s="18">
        <f ca="1">IFERROR(__xludf.DUMMYFUNCTION("IF(C94="""","""",VALUE(REGEXEXTRACT(C94,""app/(\d+)"")))"),2998750)</f>
        <v>2998750</v>
      </c>
      <c r="C94" s="33" t="s">
        <v>454</v>
      </c>
      <c r="D94" s="40" t="s">
        <v>456</v>
      </c>
      <c r="E94" s="23">
        <v>45861</v>
      </c>
      <c r="F94" s="18">
        <v>1</v>
      </c>
      <c r="G94" s="18">
        <v>1</v>
      </c>
      <c r="H94" s="24">
        <v>8.99</v>
      </c>
      <c r="I94" s="8">
        <v>0</v>
      </c>
      <c r="J94" s="8">
        <v>0</v>
      </c>
      <c r="K94" s="8">
        <v>8.99</v>
      </c>
      <c r="L94" s="18">
        <v>1</v>
      </c>
      <c r="M94" s="18">
        <v>1</v>
      </c>
      <c r="N94" s="18">
        <v>3</v>
      </c>
      <c r="O94" s="18">
        <v>1</v>
      </c>
      <c r="P94" s="26">
        <v>1</v>
      </c>
      <c r="Q94" s="18">
        <v>200</v>
      </c>
      <c r="R94" s="18">
        <v>69.14</v>
      </c>
    </row>
    <row r="95" spans="1:18" ht="13">
      <c r="A95" s="2" t="s">
        <v>457</v>
      </c>
      <c r="B95" s="18">
        <f ca="1">IFERROR(__xludf.DUMMYFUNCTION("IF(C95="""","""",VALUE(REGEXEXTRACT(C95,""app/(\d+)"")))"),1771980)</f>
        <v>1771980</v>
      </c>
      <c r="C95" s="33" t="s">
        <v>458</v>
      </c>
      <c r="D95" s="40" t="s">
        <v>460</v>
      </c>
      <c r="E95" s="23">
        <v>45495</v>
      </c>
      <c r="F95" s="18">
        <v>1</v>
      </c>
      <c r="G95" s="18">
        <v>1</v>
      </c>
      <c r="H95" s="24">
        <v>13.99</v>
      </c>
      <c r="I95" s="8">
        <v>0</v>
      </c>
      <c r="J95" s="8">
        <v>0</v>
      </c>
      <c r="K95" s="8">
        <v>13.99</v>
      </c>
      <c r="L95" s="18">
        <v>1</v>
      </c>
      <c r="M95" s="18">
        <v>1</v>
      </c>
      <c r="N95" s="18">
        <v>4</v>
      </c>
      <c r="O95" s="18">
        <v>1</v>
      </c>
      <c r="P95" s="26">
        <v>0</v>
      </c>
      <c r="Q95" s="18">
        <v>8788</v>
      </c>
      <c r="R95" s="18">
        <v>88.91</v>
      </c>
    </row>
    <row r="96" spans="1:18" ht="13">
      <c r="A96" s="2" t="s">
        <v>461</v>
      </c>
      <c r="B96" s="18">
        <f ca="1">IFERROR(__xludf.DUMMYFUNCTION("IF(C96="""","""",VALUE(REGEXEXTRACT(C96,""app/(\d+)"")))"),3626090)</f>
        <v>3626090</v>
      </c>
      <c r="C96" s="30" t="s">
        <v>462</v>
      </c>
      <c r="D96" s="18" t="s">
        <v>464</v>
      </c>
      <c r="E96" s="23">
        <v>45825</v>
      </c>
      <c r="F96" s="18">
        <v>1</v>
      </c>
      <c r="G96" s="18">
        <v>1</v>
      </c>
      <c r="H96" s="24">
        <v>4.99</v>
      </c>
      <c r="I96" s="8">
        <v>0</v>
      </c>
      <c r="J96" s="8">
        <v>0</v>
      </c>
      <c r="K96" s="8">
        <v>4.99</v>
      </c>
      <c r="L96" s="18">
        <v>1</v>
      </c>
      <c r="M96" s="18">
        <v>1</v>
      </c>
      <c r="N96" s="18">
        <v>1</v>
      </c>
      <c r="O96" s="18">
        <v>1</v>
      </c>
      <c r="P96" s="26">
        <v>0</v>
      </c>
      <c r="Q96" s="18">
        <v>126</v>
      </c>
      <c r="R96" s="18">
        <v>68.27</v>
      </c>
    </row>
    <row r="97" spans="1:18" ht="13">
      <c r="A97" s="2" t="s">
        <v>465</v>
      </c>
      <c r="B97" s="18">
        <f ca="1">IFERROR(__xludf.DUMMYFUNCTION("IF(C97="""","""",VALUE(REGEXEXTRACT(C97,""app/(\d+)"")))"),983870)</f>
        <v>983870</v>
      </c>
      <c r="C97" s="30" t="s">
        <v>467</v>
      </c>
      <c r="D97" s="18" t="s">
        <v>468</v>
      </c>
      <c r="E97" s="23">
        <v>45414</v>
      </c>
      <c r="F97" s="18">
        <v>1</v>
      </c>
      <c r="G97" s="18">
        <v>1</v>
      </c>
      <c r="H97" s="24">
        <v>34.99</v>
      </c>
      <c r="I97" s="37">
        <v>45428</v>
      </c>
      <c r="J97" s="8">
        <v>1</v>
      </c>
      <c r="K97" s="25">
        <v>29.99</v>
      </c>
      <c r="L97" s="18">
        <v>3</v>
      </c>
      <c r="M97" s="18">
        <v>2</v>
      </c>
      <c r="N97" s="18">
        <v>3</v>
      </c>
      <c r="O97" s="18">
        <v>2</v>
      </c>
      <c r="P97" s="26">
        <v>0</v>
      </c>
      <c r="Q97" s="18">
        <v>3913</v>
      </c>
      <c r="R97" s="18">
        <v>78.37</v>
      </c>
    </row>
    <row r="98" spans="1:18" ht="13">
      <c r="A98" s="2" t="s">
        <v>470</v>
      </c>
      <c r="B98" s="18">
        <f ca="1">IFERROR(__xludf.DUMMYFUNCTION("IF(C98="""","""",VALUE(REGEXEXTRACT(C98,""app/(\d+)"")))"),3632890)</f>
        <v>3632890</v>
      </c>
      <c r="C98" s="30" t="s">
        <v>471</v>
      </c>
      <c r="D98" s="18" t="s">
        <v>473</v>
      </c>
      <c r="E98" s="23">
        <v>46100</v>
      </c>
      <c r="F98" s="18">
        <v>3</v>
      </c>
      <c r="G98" s="18">
        <v>1</v>
      </c>
      <c r="H98" s="24">
        <v>11.99</v>
      </c>
      <c r="I98" s="8">
        <v>0</v>
      </c>
      <c r="J98" s="8">
        <v>0</v>
      </c>
      <c r="K98" s="8">
        <v>11.99</v>
      </c>
      <c r="L98" s="18">
        <v>1</v>
      </c>
      <c r="M98" s="18">
        <v>1</v>
      </c>
      <c r="N98" s="18">
        <v>3</v>
      </c>
      <c r="O98" s="18">
        <v>1</v>
      </c>
      <c r="P98" s="26">
        <v>0</v>
      </c>
      <c r="Q98" s="18">
        <v>303</v>
      </c>
      <c r="R98" s="18">
        <v>87.53</v>
      </c>
    </row>
    <row r="99" spans="1:18" ht="13">
      <c r="A99" s="2" t="s">
        <v>474</v>
      </c>
      <c r="B99" s="18">
        <f ca="1">IFERROR(__xludf.DUMMYFUNCTION("IF(C99="""","""",VALUE(REGEXEXTRACT(C99,""app/(\d+)"")))"),2772750)</f>
        <v>2772750</v>
      </c>
      <c r="C99" s="30" t="s">
        <v>475</v>
      </c>
      <c r="D99" s="18" t="s">
        <v>477</v>
      </c>
      <c r="E99" s="23">
        <v>45588</v>
      </c>
      <c r="F99" s="18">
        <v>1</v>
      </c>
      <c r="G99" s="18">
        <v>1</v>
      </c>
      <c r="H99" s="24">
        <v>9.99</v>
      </c>
      <c r="I99" s="8">
        <v>0</v>
      </c>
      <c r="J99" s="8">
        <v>0</v>
      </c>
      <c r="K99" s="8">
        <v>9.99</v>
      </c>
      <c r="L99" s="18">
        <v>1</v>
      </c>
      <c r="M99" s="18">
        <v>1</v>
      </c>
      <c r="N99" s="18">
        <v>3</v>
      </c>
      <c r="O99" s="18">
        <v>1</v>
      </c>
      <c r="P99" s="26">
        <v>0</v>
      </c>
      <c r="Q99" s="18">
        <v>18513</v>
      </c>
      <c r="R99" s="18">
        <v>83.19</v>
      </c>
    </row>
    <row r="100" spans="1:18" ht="13">
      <c r="A100" s="2" t="s">
        <v>478</v>
      </c>
      <c r="B100" s="18">
        <f ca="1">IFERROR(__xludf.DUMMYFUNCTION("IF(C100="""","""",VALUE(REGEXEXTRACT(C100,""app/(\d+)"")))"),3690760)</f>
        <v>3690760</v>
      </c>
      <c r="C100" s="33" t="s">
        <v>480</v>
      </c>
      <c r="D100" s="34" t="s">
        <v>481</v>
      </c>
      <c r="E100" s="23">
        <v>46199</v>
      </c>
      <c r="F100" s="18">
        <v>3</v>
      </c>
      <c r="G100" s="18">
        <v>1</v>
      </c>
      <c r="H100" s="24">
        <v>12.99</v>
      </c>
      <c r="I100" s="8">
        <v>0</v>
      </c>
      <c r="J100" s="8">
        <v>0</v>
      </c>
      <c r="K100" s="8">
        <v>12.99</v>
      </c>
      <c r="L100" s="18">
        <v>1</v>
      </c>
      <c r="M100" s="18">
        <v>1</v>
      </c>
      <c r="N100" s="18">
        <v>3</v>
      </c>
      <c r="O100" s="18">
        <v>1</v>
      </c>
      <c r="P100" s="26">
        <v>1</v>
      </c>
      <c r="Q100" s="18">
        <v>201</v>
      </c>
      <c r="R100" s="18">
        <v>64.09</v>
      </c>
    </row>
    <row r="101" spans="1:18" ht="13">
      <c r="A101" s="2" t="s">
        <v>483</v>
      </c>
      <c r="B101" s="18">
        <f ca="1">IFERROR(__xludf.DUMMYFUNCTION("IF(C101="""","""",VALUE(REGEXEXTRACT(C101,""app/(\d+)"")))"),1575940)</f>
        <v>1575940</v>
      </c>
      <c r="C101" s="33" t="s">
        <v>485</v>
      </c>
      <c r="D101" s="40" t="s">
        <v>486</v>
      </c>
      <c r="E101" s="23">
        <v>45519</v>
      </c>
      <c r="F101" s="18">
        <v>1</v>
      </c>
      <c r="G101" s="18">
        <v>1</v>
      </c>
      <c r="H101" s="24">
        <v>49.99</v>
      </c>
      <c r="I101" s="8">
        <v>0</v>
      </c>
      <c r="J101" s="8">
        <v>0</v>
      </c>
      <c r="K101" s="8">
        <v>49.99</v>
      </c>
      <c r="L101" s="18">
        <v>3</v>
      </c>
      <c r="M101" s="18">
        <v>2</v>
      </c>
      <c r="N101" s="18">
        <v>3</v>
      </c>
      <c r="O101" s="18">
        <v>1</v>
      </c>
      <c r="P101" s="26">
        <v>0</v>
      </c>
      <c r="Q101" s="18">
        <v>8580</v>
      </c>
      <c r="R101" s="18">
        <v>81.599999999999994</v>
      </c>
    </row>
    <row r="102" spans="1:18" ht="13">
      <c r="A102" s="2" t="s">
        <v>487</v>
      </c>
      <c r="B102" s="18">
        <f ca="1">IFERROR(__xludf.DUMMYFUNCTION("IF(C102="""","""",VALUE(REGEXEXTRACT(C102,""app/(\d+)"")))"),3059520)</f>
        <v>3059520</v>
      </c>
      <c r="C102" s="30" t="s">
        <v>489</v>
      </c>
      <c r="D102" s="18" t="s">
        <v>491</v>
      </c>
      <c r="E102" s="23">
        <v>45807</v>
      </c>
      <c r="F102" s="18">
        <v>1</v>
      </c>
      <c r="G102" s="18">
        <v>2</v>
      </c>
      <c r="H102" s="24">
        <v>59.99</v>
      </c>
      <c r="I102" s="37">
        <v>46176</v>
      </c>
      <c r="J102" s="8">
        <v>1</v>
      </c>
      <c r="K102" s="25">
        <v>49.99</v>
      </c>
      <c r="L102" s="18">
        <v>3</v>
      </c>
      <c r="M102" s="18">
        <v>2</v>
      </c>
      <c r="N102" s="18">
        <v>3</v>
      </c>
      <c r="O102" s="18">
        <v>2</v>
      </c>
      <c r="P102" s="26">
        <v>1</v>
      </c>
      <c r="Q102" s="18">
        <v>28188</v>
      </c>
      <c r="R102" s="18">
        <v>85.37</v>
      </c>
    </row>
    <row r="209" spans="9:16" ht="12.5">
      <c r="I209" s="8"/>
      <c r="J209" s="8"/>
      <c r="K209" s="8"/>
      <c r="P209" s="26"/>
    </row>
    <row r="210" spans="9:16" ht="12.5">
      <c r="I210" s="8"/>
      <c r="J210" s="8"/>
      <c r="K210" s="8"/>
      <c r="P210" s="26"/>
    </row>
    <row r="211" spans="9:16" ht="12.5">
      <c r="I211" s="8"/>
      <c r="J211" s="8"/>
      <c r="K211" s="8"/>
      <c r="P211" s="26"/>
    </row>
    <row r="212" spans="9:16" ht="12.5">
      <c r="I212" s="8"/>
      <c r="J212" s="8"/>
      <c r="K212" s="8"/>
      <c r="P212" s="26"/>
    </row>
    <row r="213" spans="9:16" ht="12.5">
      <c r="I213" s="8"/>
      <c r="J213" s="8"/>
      <c r="K213" s="8"/>
      <c r="P213" s="26"/>
    </row>
    <row r="214" spans="9:16" ht="12.5">
      <c r="I214" s="8"/>
      <c r="J214" s="8"/>
      <c r="K214" s="8"/>
      <c r="P214" s="26"/>
    </row>
    <row r="215" spans="9:16" ht="12.5">
      <c r="I215" s="8"/>
      <c r="J215" s="8"/>
      <c r="K215" s="8"/>
      <c r="P215" s="26"/>
    </row>
    <row r="216" spans="9:16" ht="12.5">
      <c r="I216" s="8"/>
      <c r="J216" s="8"/>
      <c r="K216" s="8"/>
      <c r="P216" s="26"/>
    </row>
    <row r="217" spans="9:16" ht="12.5">
      <c r="I217" s="8"/>
      <c r="J217" s="8"/>
      <c r="K217" s="8"/>
      <c r="P217" s="26"/>
    </row>
    <row r="218" spans="9:16" ht="12.5">
      <c r="I218" s="8"/>
      <c r="J218" s="8"/>
      <c r="K218" s="8"/>
      <c r="P218" s="26"/>
    </row>
    <row r="219" spans="9:16" ht="12.5">
      <c r="I219" s="8"/>
      <c r="J219" s="8"/>
      <c r="K219" s="8"/>
      <c r="P219" s="26"/>
    </row>
    <row r="220" spans="9:16" ht="12.5">
      <c r="I220" s="8"/>
      <c r="J220" s="8"/>
      <c r="K220" s="8"/>
      <c r="P220" s="26"/>
    </row>
    <row r="221" spans="9:16" ht="12.5">
      <c r="I221" s="8"/>
      <c r="J221" s="8"/>
      <c r="K221" s="8"/>
      <c r="P221" s="26"/>
    </row>
    <row r="222" spans="9:16" ht="12.5">
      <c r="I222" s="8"/>
      <c r="J222" s="8"/>
      <c r="K222" s="8"/>
      <c r="P222" s="26"/>
    </row>
    <row r="223" spans="9:16" ht="12.5">
      <c r="I223" s="8"/>
      <c r="J223" s="8"/>
      <c r="K223" s="8"/>
      <c r="P223" s="26"/>
    </row>
    <row r="224" spans="9:16" ht="12.5">
      <c r="I224" s="8"/>
      <c r="J224" s="8"/>
      <c r="K224" s="8"/>
      <c r="P224" s="26"/>
    </row>
    <row r="225" spans="9:16" ht="12.5">
      <c r="I225" s="8"/>
      <c r="J225" s="8"/>
      <c r="K225" s="8"/>
      <c r="P225" s="26"/>
    </row>
    <row r="226" spans="9:16" ht="12.5">
      <c r="I226" s="8"/>
      <c r="J226" s="8"/>
      <c r="K226" s="8"/>
      <c r="P226" s="26"/>
    </row>
    <row r="227" spans="9:16" ht="12.5">
      <c r="I227" s="8"/>
      <c r="J227" s="8"/>
      <c r="K227" s="8"/>
      <c r="P227" s="26"/>
    </row>
    <row r="228" spans="9:16" ht="12.5">
      <c r="I228" s="8"/>
      <c r="J228" s="8"/>
      <c r="K228" s="8"/>
      <c r="P228" s="26"/>
    </row>
    <row r="229" spans="9:16" ht="12.5">
      <c r="I229" s="8"/>
      <c r="J229" s="8"/>
      <c r="K229" s="8"/>
      <c r="P229" s="26"/>
    </row>
    <row r="230" spans="9:16" ht="12.5">
      <c r="I230" s="8"/>
      <c r="J230" s="8"/>
      <c r="K230" s="8"/>
      <c r="P230" s="26"/>
    </row>
    <row r="231" spans="9:16" ht="12.5">
      <c r="I231" s="8"/>
      <c r="J231" s="8"/>
      <c r="K231" s="8"/>
      <c r="P231" s="26"/>
    </row>
    <row r="232" spans="9:16" ht="12.5">
      <c r="I232" s="8"/>
      <c r="J232" s="8"/>
      <c r="K232" s="8"/>
      <c r="P232" s="26"/>
    </row>
    <row r="233" spans="9:16" ht="12.5">
      <c r="I233" s="8"/>
      <c r="J233" s="8"/>
      <c r="K233" s="8"/>
      <c r="P233" s="26"/>
    </row>
    <row r="234" spans="9:16" ht="12.5">
      <c r="I234" s="8"/>
      <c r="J234" s="8"/>
      <c r="K234" s="8"/>
      <c r="P234" s="26"/>
    </row>
    <row r="235" spans="9:16" ht="12.5">
      <c r="I235" s="8"/>
      <c r="J235" s="8"/>
      <c r="K235" s="8"/>
      <c r="P235" s="26"/>
    </row>
    <row r="236" spans="9:16" ht="12.5">
      <c r="I236" s="8"/>
      <c r="J236" s="8"/>
      <c r="K236" s="8"/>
      <c r="P236" s="26"/>
    </row>
    <row r="237" spans="9:16" ht="12.5">
      <c r="I237" s="8"/>
      <c r="J237" s="8"/>
      <c r="K237" s="8"/>
      <c r="P237" s="26"/>
    </row>
    <row r="238" spans="9:16" ht="12.5">
      <c r="I238" s="8"/>
      <c r="J238" s="8"/>
      <c r="K238" s="8"/>
      <c r="P238" s="26"/>
    </row>
    <row r="239" spans="9:16" ht="12.5">
      <c r="I239" s="8"/>
      <c r="J239" s="8"/>
      <c r="K239" s="8"/>
      <c r="P239" s="26"/>
    </row>
    <row r="240" spans="9:16" ht="12.5">
      <c r="I240" s="8"/>
      <c r="J240" s="8"/>
      <c r="K240" s="8"/>
      <c r="P240" s="26"/>
    </row>
    <row r="241" spans="9:16" ht="12.5">
      <c r="I241" s="8"/>
      <c r="J241" s="8"/>
      <c r="K241" s="8"/>
      <c r="P241" s="26"/>
    </row>
    <row r="242" spans="9:16" ht="12.5">
      <c r="I242" s="8"/>
      <c r="J242" s="8"/>
      <c r="K242" s="8"/>
      <c r="P242" s="26"/>
    </row>
    <row r="243" spans="9:16" ht="12.5">
      <c r="I243" s="8"/>
      <c r="J243" s="8"/>
      <c r="K243" s="8"/>
      <c r="P243" s="26"/>
    </row>
    <row r="244" spans="9:16" ht="12.5">
      <c r="I244" s="8"/>
      <c r="J244" s="8"/>
      <c r="K244" s="8"/>
      <c r="P244" s="26"/>
    </row>
    <row r="245" spans="9:16" ht="12.5">
      <c r="I245" s="8"/>
      <c r="J245" s="8"/>
      <c r="K245" s="8"/>
      <c r="P245" s="26"/>
    </row>
    <row r="246" spans="9:16" ht="12.5">
      <c r="I246" s="8"/>
      <c r="J246" s="8"/>
      <c r="K246" s="8"/>
      <c r="P246" s="26"/>
    </row>
    <row r="247" spans="9:16" ht="12.5">
      <c r="I247" s="8"/>
      <c r="J247" s="8"/>
      <c r="K247" s="8"/>
      <c r="P247" s="26"/>
    </row>
    <row r="248" spans="9:16" ht="12.5">
      <c r="I248" s="8"/>
      <c r="J248" s="8"/>
      <c r="K248" s="8"/>
      <c r="P248" s="26"/>
    </row>
    <row r="249" spans="9:16" ht="12.5">
      <c r="I249" s="8"/>
      <c r="J249" s="8"/>
      <c r="K249" s="8"/>
      <c r="P249" s="26"/>
    </row>
    <row r="250" spans="9:16" ht="12.5">
      <c r="I250" s="8"/>
      <c r="J250" s="8"/>
      <c r="K250" s="8"/>
      <c r="P250" s="26"/>
    </row>
    <row r="251" spans="9:16" ht="12.5">
      <c r="I251" s="8"/>
      <c r="J251" s="8"/>
      <c r="K251" s="8"/>
      <c r="P251" s="26"/>
    </row>
    <row r="252" spans="9:16" ht="12.5">
      <c r="I252" s="8"/>
      <c r="J252" s="8"/>
      <c r="K252" s="8"/>
      <c r="P252" s="26"/>
    </row>
    <row r="253" spans="9:16" ht="12.5">
      <c r="I253" s="8"/>
      <c r="J253" s="8"/>
      <c r="K253" s="8"/>
      <c r="P253" s="26"/>
    </row>
    <row r="254" spans="9:16" ht="12.5">
      <c r="I254" s="8"/>
      <c r="J254" s="8"/>
      <c r="K254" s="8"/>
      <c r="P254" s="26"/>
    </row>
    <row r="255" spans="9:16" ht="12.5">
      <c r="I255" s="8"/>
      <c r="J255" s="8"/>
      <c r="K255" s="8"/>
      <c r="P255" s="26"/>
    </row>
    <row r="256" spans="9:16" ht="12.5">
      <c r="I256" s="8"/>
      <c r="J256" s="8"/>
      <c r="K256" s="8"/>
      <c r="P256" s="26"/>
    </row>
    <row r="257" spans="9:16" ht="12.5">
      <c r="I257" s="8"/>
      <c r="J257" s="8"/>
      <c r="K257" s="8"/>
      <c r="P257" s="26"/>
    </row>
    <row r="258" spans="9:16" ht="12.5">
      <c r="I258" s="8"/>
      <c r="J258" s="8"/>
      <c r="K258" s="8"/>
      <c r="P258" s="26"/>
    </row>
    <row r="259" spans="9:16" ht="12.5">
      <c r="I259" s="8"/>
      <c r="J259" s="8"/>
      <c r="K259" s="8"/>
      <c r="P259" s="26"/>
    </row>
    <row r="260" spans="9:16" ht="12.5">
      <c r="I260" s="8"/>
      <c r="J260" s="8"/>
      <c r="K260" s="8"/>
      <c r="P260" s="26"/>
    </row>
    <row r="261" spans="9:16" ht="12.5">
      <c r="I261" s="8"/>
      <c r="J261" s="8"/>
      <c r="K261" s="8"/>
      <c r="P261" s="26"/>
    </row>
    <row r="262" spans="9:16" ht="12.5">
      <c r="I262" s="8"/>
      <c r="J262" s="8"/>
      <c r="K262" s="8"/>
      <c r="P262" s="26"/>
    </row>
    <row r="263" spans="9:16" ht="12.5">
      <c r="I263" s="8"/>
      <c r="J263" s="8"/>
      <c r="K263" s="8"/>
      <c r="P263" s="26"/>
    </row>
    <row r="264" spans="9:16" ht="12.5">
      <c r="I264" s="8"/>
      <c r="J264" s="8"/>
      <c r="K264" s="8"/>
      <c r="P264" s="26"/>
    </row>
    <row r="265" spans="9:16" ht="12.5">
      <c r="I265" s="8"/>
      <c r="J265" s="8"/>
      <c r="K265" s="8"/>
      <c r="P265" s="26"/>
    </row>
    <row r="266" spans="9:16" ht="12.5">
      <c r="I266" s="8"/>
      <c r="J266" s="8"/>
      <c r="K266" s="8"/>
      <c r="P266" s="26"/>
    </row>
    <row r="267" spans="9:16" ht="12.5">
      <c r="I267" s="8"/>
      <c r="J267" s="8"/>
      <c r="K267" s="8"/>
      <c r="P267" s="26"/>
    </row>
    <row r="268" spans="9:16" ht="12.5">
      <c r="I268" s="8"/>
      <c r="J268" s="8"/>
      <c r="K268" s="8"/>
      <c r="P268" s="26"/>
    </row>
    <row r="269" spans="9:16" ht="12.5">
      <c r="I269" s="8"/>
      <c r="J269" s="8"/>
      <c r="K269" s="8"/>
      <c r="P269" s="26"/>
    </row>
    <row r="270" spans="9:16" ht="12.5">
      <c r="I270" s="8"/>
      <c r="J270" s="8"/>
      <c r="K270" s="8"/>
      <c r="P270" s="26"/>
    </row>
    <row r="271" spans="9:16" ht="12.5">
      <c r="I271" s="8"/>
      <c r="J271" s="8"/>
      <c r="K271" s="8"/>
      <c r="P271" s="26"/>
    </row>
    <row r="272" spans="9:16" ht="12.5">
      <c r="I272" s="8"/>
      <c r="J272" s="8"/>
      <c r="K272" s="8"/>
      <c r="P272" s="26"/>
    </row>
    <row r="273" spans="9:16" ht="12.5">
      <c r="I273" s="8"/>
      <c r="J273" s="8"/>
      <c r="K273" s="8"/>
      <c r="P273" s="26"/>
    </row>
    <row r="274" spans="9:16" ht="12.5">
      <c r="I274" s="8"/>
      <c r="J274" s="8"/>
      <c r="K274" s="8"/>
      <c r="P274" s="26"/>
    </row>
    <row r="275" spans="9:16" ht="12.5">
      <c r="I275" s="8"/>
      <c r="J275" s="8"/>
      <c r="K275" s="8"/>
      <c r="P275" s="26"/>
    </row>
    <row r="276" spans="9:16" ht="12.5">
      <c r="I276" s="8"/>
      <c r="J276" s="8"/>
      <c r="K276" s="8"/>
      <c r="P276" s="26"/>
    </row>
    <row r="277" spans="9:16" ht="12.5">
      <c r="I277" s="8"/>
      <c r="J277" s="8"/>
      <c r="K277" s="8"/>
      <c r="P277" s="26"/>
    </row>
    <row r="278" spans="9:16" ht="12.5">
      <c r="I278" s="8"/>
      <c r="J278" s="8"/>
      <c r="K278" s="8"/>
      <c r="P278" s="26"/>
    </row>
    <row r="279" spans="9:16" ht="12.5">
      <c r="I279" s="8"/>
      <c r="J279" s="8"/>
      <c r="K279" s="8"/>
      <c r="P279" s="26"/>
    </row>
    <row r="280" spans="9:16" ht="12.5">
      <c r="I280" s="8"/>
      <c r="J280" s="8"/>
      <c r="K280" s="8"/>
      <c r="P280" s="26"/>
    </row>
    <row r="281" spans="9:16" ht="12.5">
      <c r="I281" s="8"/>
      <c r="J281" s="8"/>
      <c r="K281" s="8"/>
      <c r="P281" s="26"/>
    </row>
    <row r="282" spans="9:16" ht="12.5">
      <c r="I282" s="8"/>
      <c r="J282" s="8"/>
      <c r="K282" s="8"/>
      <c r="P282" s="26"/>
    </row>
    <row r="283" spans="9:16" ht="12.5">
      <c r="I283" s="8"/>
      <c r="J283" s="8"/>
      <c r="K283" s="8"/>
      <c r="P283" s="26"/>
    </row>
    <row r="284" spans="9:16" ht="12.5">
      <c r="I284" s="8"/>
      <c r="J284" s="8"/>
      <c r="K284" s="8"/>
      <c r="P284" s="26"/>
    </row>
    <row r="285" spans="9:16" ht="12.5">
      <c r="I285" s="8"/>
      <c r="J285" s="8"/>
      <c r="K285" s="8"/>
      <c r="P285" s="26"/>
    </row>
    <row r="286" spans="9:16" ht="12.5">
      <c r="I286" s="8"/>
      <c r="J286" s="8"/>
      <c r="K286" s="8"/>
      <c r="P286" s="26"/>
    </row>
    <row r="287" spans="9:16" ht="12.5">
      <c r="I287" s="8"/>
      <c r="J287" s="8"/>
      <c r="K287" s="8"/>
      <c r="P287" s="26"/>
    </row>
    <row r="288" spans="9:16" ht="12.5">
      <c r="I288" s="8"/>
      <c r="J288" s="8"/>
      <c r="K288" s="8"/>
      <c r="P288" s="26"/>
    </row>
    <row r="289" spans="9:16" ht="12.5">
      <c r="I289" s="8"/>
      <c r="J289" s="8"/>
      <c r="K289" s="8"/>
      <c r="P289" s="26"/>
    </row>
    <row r="290" spans="9:16" ht="12.5">
      <c r="I290" s="8"/>
      <c r="J290" s="8"/>
      <c r="K290" s="8"/>
      <c r="P290" s="26"/>
    </row>
    <row r="291" spans="9:16" ht="12.5">
      <c r="I291" s="8"/>
      <c r="J291" s="8"/>
      <c r="K291" s="8"/>
      <c r="P291" s="26"/>
    </row>
    <row r="292" spans="9:16" ht="12.5">
      <c r="I292" s="8"/>
      <c r="J292" s="8"/>
      <c r="K292" s="8"/>
      <c r="P292" s="26"/>
    </row>
    <row r="293" spans="9:16" ht="12.5">
      <c r="I293" s="8"/>
      <c r="J293" s="8"/>
      <c r="K293" s="8"/>
      <c r="P293" s="26"/>
    </row>
    <row r="294" spans="9:16" ht="12.5">
      <c r="I294" s="8"/>
      <c r="J294" s="8"/>
      <c r="K294" s="8"/>
      <c r="P294" s="26"/>
    </row>
    <row r="295" spans="9:16" ht="12.5">
      <c r="I295" s="8"/>
      <c r="J295" s="8"/>
      <c r="K295" s="8"/>
      <c r="P295" s="26"/>
    </row>
    <row r="296" spans="9:16" ht="12.5">
      <c r="I296" s="8"/>
      <c r="J296" s="8"/>
      <c r="K296" s="8"/>
      <c r="P296" s="26"/>
    </row>
    <row r="297" spans="9:16" ht="12.5">
      <c r="I297" s="8"/>
      <c r="J297" s="8"/>
      <c r="K297" s="8"/>
      <c r="P297" s="26"/>
    </row>
    <row r="298" spans="9:16" ht="12.5">
      <c r="I298" s="8"/>
      <c r="J298" s="8"/>
      <c r="K298" s="8"/>
      <c r="P298" s="26"/>
    </row>
    <row r="299" spans="9:16" ht="12.5">
      <c r="I299" s="8"/>
      <c r="J299" s="8"/>
      <c r="K299" s="8"/>
      <c r="P299" s="26"/>
    </row>
    <row r="300" spans="9:16" ht="12.5">
      <c r="I300" s="8"/>
      <c r="J300" s="8"/>
      <c r="K300" s="8"/>
      <c r="P300" s="26"/>
    </row>
    <row r="301" spans="9:16" ht="12.5">
      <c r="I301" s="8"/>
      <c r="J301" s="8"/>
      <c r="K301" s="8"/>
      <c r="P301" s="26"/>
    </row>
    <row r="302" spans="9:16" ht="12.5">
      <c r="I302" s="8"/>
      <c r="J302" s="8"/>
      <c r="K302" s="8"/>
      <c r="P302" s="26"/>
    </row>
    <row r="303" spans="9:16" ht="12.5">
      <c r="I303" s="8"/>
      <c r="J303" s="8"/>
      <c r="K303" s="8"/>
      <c r="P303" s="26"/>
    </row>
    <row r="304" spans="9:16" ht="12.5">
      <c r="I304" s="8"/>
      <c r="J304" s="8"/>
      <c r="K304" s="8"/>
      <c r="P304" s="26"/>
    </row>
    <row r="305" spans="9:16" ht="12.5">
      <c r="I305" s="8"/>
      <c r="J305" s="8"/>
      <c r="K305" s="8"/>
      <c r="P305" s="26"/>
    </row>
    <row r="306" spans="9:16" ht="12.5">
      <c r="I306" s="8"/>
      <c r="J306" s="8"/>
      <c r="K306" s="8"/>
      <c r="P306" s="26"/>
    </row>
    <row r="307" spans="9:16" ht="12.5">
      <c r="I307" s="8"/>
      <c r="J307" s="8"/>
      <c r="K307" s="8"/>
      <c r="P307" s="26"/>
    </row>
    <row r="308" spans="9:16" ht="12.5">
      <c r="I308" s="8"/>
      <c r="J308" s="8"/>
      <c r="K308" s="8"/>
      <c r="P308" s="26"/>
    </row>
    <row r="309" spans="9:16" ht="12.5">
      <c r="I309" s="8"/>
      <c r="J309" s="8"/>
      <c r="K309" s="8"/>
      <c r="P309" s="26"/>
    </row>
    <row r="310" spans="9:16" ht="12.5">
      <c r="I310" s="8"/>
      <c r="J310" s="8"/>
      <c r="K310" s="8"/>
      <c r="P310" s="26"/>
    </row>
    <row r="311" spans="9:16" ht="12.5">
      <c r="I311" s="8"/>
      <c r="J311" s="8"/>
      <c r="K311" s="8"/>
      <c r="P311" s="26"/>
    </row>
    <row r="312" spans="9:16" ht="12.5">
      <c r="I312" s="8"/>
      <c r="J312" s="8"/>
      <c r="K312" s="8"/>
      <c r="P312" s="26"/>
    </row>
    <row r="313" spans="9:16" ht="12.5">
      <c r="I313" s="8"/>
      <c r="J313" s="8"/>
      <c r="K313" s="8"/>
      <c r="P313" s="26"/>
    </row>
    <row r="314" spans="9:16" ht="12.5">
      <c r="I314" s="8"/>
      <c r="J314" s="8"/>
      <c r="K314" s="8"/>
      <c r="P314" s="26"/>
    </row>
    <row r="315" spans="9:16" ht="12.5">
      <c r="I315" s="8"/>
      <c r="J315" s="8"/>
      <c r="K315" s="8"/>
      <c r="P315" s="26"/>
    </row>
    <row r="316" spans="9:16" ht="12.5">
      <c r="I316" s="8"/>
      <c r="J316" s="8"/>
      <c r="K316" s="8"/>
      <c r="P316" s="26"/>
    </row>
    <row r="317" spans="9:16" ht="12.5">
      <c r="I317" s="8"/>
      <c r="J317" s="8"/>
      <c r="K317" s="8"/>
      <c r="P317" s="26"/>
    </row>
    <row r="318" spans="9:16" ht="12.5">
      <c r="I318" s="8"/>
      <c r="J318" s="8"/>
      <c r="K318" s="8"/>
      <c r="P318" s="26"/>
    </row>
    <row r="319" spans="9:16" ht="12.5">
      <c r="I319" s="8"/>
      <c r="J319" s="8"/>
      <c r="K319" s="8"/>
      <c r="P319" s="26"/>
    </row>
    <row r="320" spans="9:16" ht="12.5">
      <c r="I320" s="8"/>
      <c r="J320" s="8"/>
      <c r="K320" s="8"/>
      <c r="P320" s="26"/>
    </row>
    <row r="321" spans="9:16" ht="12.5">
      <c r="I321" s="8"/>
      <c r="J321" s="8"/>
      <c r="K321" s="8"/>
      <c r="P321" s="26"/>
    </row>
    <row r="322" spans="9:16" ht="12.5">
      <c r="I322" s="8"/>
      <c r="J322" s="8"/>
      <c r="K322" s="8"/>
      <c r="P322" s="26"/>
    </row>
    <row r="323" spans="9:16" ht="12.5">
      <c r="I323" s="8"/>
      <c r="J323" s="8"/>
      <c r="K323" s="8"/>
      <c r="P323" s="26"/>
    </row>
    <row r="324" spans="9:16" ht="12.5">
      <c r="I324" s="8"/>
      <c r="J324" s="8"/>
      <c r="K324" s="8"/>
      <c r="P324" s="26"/>
    </row>
    <row r="325" spans="9:16" ht="12.5">
      <c r="I325" s="8"/>
      <c r="J325" s="8"/>
      <c r="K325" s="8"/>
      <c r="P325" s="26"/>
    </row>
    <row r="326" spans="9:16" ht="12.5">
      <c r="I326" s="8"/>
      <c r="J326" s="8"/>
      <c r="K326" s="8"/>
      <c r="P326" s="26"/>
    </row>
    <row r="327" spans="9:16" ht="12.5">
      <c r="I327" s="8"/>
      <c r="J327" s="8"/>
      <c r="K327" s="8"/>
      <c r="P327" s="26"/>
    </row>
    <row r="328" spans="9:16" ht="12.5">
      <c r="I328" s="8"/>
      <c r="J328" s="8"/>
      <c r="K328" s="8"/>
      <c r="P328" s="26"/>
    </row>
    <row r="329" spans="9:16" ht="12.5">
      <c r="I329" s="8"/>
      <c r="J329" s="8"/>
      <c r="K329" s="8"/>
      <c r="P329" s="26"/>
    </row>
    <row r="330" spans="9:16" ht="12.5">
      <c r="I330" s="8"/>
      <c r="J330" s="8"/>
      <c r="K330" s="8"/>
      <c r="P330" s="26"/>
    </row>
    <row r="331" spans="9:16" ht="12.5">
      <c r="I331" s="8"/>
      <c r="J331" s="8"/>
      <c r="K331" s="8"/>
      <c r="P331" s="26"/>
    </row>
    <row r="332" spans="9:16" ht="12.5">
      <c r="I332" s="8"/>
      <c r="J332" s="8"/>
      <c r="K332" s="8"/>
      <c r="P332" s="26"/>
    </row>
    <row r="333" spans="9:16" ht="12.5">
      <c r="I333" s="8"/>
      <c r="J333" s="8"/>
      <c r="K333" s="8"/>
      <c r="P333" s="26"/>
    </row>
    <row r="334" spans="9:16" ht="12.5">
      <c r="I334" s="8"/>
      <c r="J334" s="8"/>
      <c r="K334" s="8"/>
      <c r="P334" s="26"/>
    </row>
    <row r="335" spans="9:16" ht="12.5">
      <c r="I335" s="8"/>
      <c r="J335" s="8"/>
      <c r="K335" s="8"/>
      <c r="P335" s="26"/>
    </row>
    <row r="336" spans="9:16" ht="12.5">
      <c r="I336" s="8"/>
      <c r="J336" s="8"/>
      <c r="K336" s="8"/>
      <c r="P336" s="26"/>
    </row>
    <row r="337" spans="9:16" ht="12.5">
      <c r="I337" s="8"/>
      <c r="J337" s="8"/>
      <c r="K337" s="8"/>
      <c r="P337" s="26"/>
    </row>
    <row r="338" spans="9:16" ht="12.5">
      <c r="I338" s="8"/>
      <c r="J338" s="8"/>
      <c r="K338" s="8"/>
      <c r="P338" s="26"/>
    </row>
    <row r="339" spans="9:16" ht="12.5">
      <c r="I339" s="8"/>
      <c r="J339" s="8"/>
      <c r="K339" s="8"/>
      <c r="P339" s="26"/>
    </row>
    <row r="340" spans="9:16" ht="12.5">
      <c r="I340" s="8"/>
      <c r="J340" s="8"/>
      <c r="K340" s="8"/>
      <c r="P340" s="26"/>
    </row>
    <row r="341" spans="9:16" ht="12.5">
      <c r="I341" s="8"/>
      <c r="J341" s="8"/>
      <c r="K341" s="8"/>
      <c r="P341" s="26"/>
    </row>
    <row r="342" spans="9:16" ht="12.5">
      <c r="I342" s="8"/>
      <c r="J342" s="8"/>
      <c r="K342" s="8"/>
      <c r="P342" s="26"/>
    </row>
    <row r="343" spans="9:16" ht="12.5">
      <c r="I343" s="8"/>
      <c r="J343" s="8"/>
      <c r="K343" s="8"/>
      <c r="P343" s="26"/>
    </row>
    <row r="344" spans="9:16" ht="12.5">
      <c r="I344" s="8"/>
      <c r="J344" s="8"/>
      <c r="K344" s="8"/>
      <c r="P344" s="26"/>
    </row>
    <row r="345" spans="9:16" ht="12.5">
      <c r="I345" s="8"/>
      <c r="J345" s="8"/>
      <c r="K345" s="8"/>
      <c r="P345" s="26"/>
    </row>
    <row r="346" spans="9:16" ht="12.5">
      <c r="I346" s="8"/>
      <c r="J346" s="8"/>
      <c r="K346" s="8"/>
      <c r="P346" s="26"/>
    </row>
    <row r="347" spans="9:16" ht="12.5">
      <c r="I347" s="8"/>
      <c r="J347" s="8"/>
      <c r="K347" s="8"/>
      <c r="P347" s="26"/>
    </row>
    <row r="348" spans="9:16" ht="12.5">
      <c r="I348" s="8"/>
      <c r="J348" s="8"/>
      <c r="K348" s="8"/>
      <c r="P348" s="26"/>
    </row>
    <row r="349" spans="9:16" ht="12.5">
      <c r="I349" s="8"/>
      <c r="J349" s="8"/>
      <c r="K349" s="8"/>
      <c r="P349" s="26"/>
    </row>
    <row r="350" spans="9:16" ht="12.5">
      <c r="I350" s="8"/>
      <c r="J350" s="8"/>
      <c r="K350" s="8"/>
      <c r="P350" s="26"/>
    </row>
    <row r="351" spans="9:16" ht="12.5">
      <c r="I351" s="8"/>
      <c r="J351" s="8"/>
      <c r="K351" s="8"/>
      <c r="P351" s="26"/>
    </row>
    <row r="352" spans="9:16" ht="12.5">
      <c r="I352" s="8"/>
      <c r="J352" s="8"/>
      <c r="K352" s="8"/>
      <c r="P352" s="26"/>
    </row>
    <row r="353" spans="9:16" ht="12.5">
      <c r="I353" s="8"/>
      <c r="J353" s="8"/>
      <c r="K353" s="8"/>
      <c r="P353" s="26"/>
    </row>
    <row r="354" spans="9:16" ht="12.5">
      <c r="I354" s="8"/>
      <c r="J354" s="8"/>
      <c r="K354" s="8"/>
      <c r="P354" s="26"/>
    </row>
    <row r="355" spans="9:16" ht="12.5">
      <c r="I355" s="8"/>
      <c r="J355" s="8"/>
      <c r="K355" s="8"/>
      <c r="P355" s="26"/>
    </row>
    <row r="356" spans="9:16" ht="12.5">
      <c r="I356" s="8"/>
      <c r="J356" s="8"/>
      <c r="K356" s="8"/>
      <c r="P356" s="26"/>
    </row>
    <row r="357" spans="9:16" ht="12.5">
      <c r="I357" s="8"/>
      <c r="J357" s="8"/>
      <c r="K357" s="8"/>
      <c r="P357" s="26"/>
    </row>
    <row r="358" spans="9:16" ht="12.5">
      <c r="I358" s="8"/>
      <c r="J358" s="8"/>
      <c r="K358" s="8"/>
      <c r="P358" s="26"/>
    </row>
    <row r="359" spans="9:16" ht="12.5">
      <c r="I359" s="8"/>
      <c r="J359" s="8"/>
      <c r="K359" s="8"/>
      <c r="P359" s="26"/>
    </row>
    <row r="360" spans="9:16" ht="12.5">
      <c r="I360" s="8"/>
      <c r="J360" s="8"/>
      <c r="K360" s="8"/>
      <c r="P360" s="26"/>
    </row>
    <row r="361" spans="9:16" ht="12.5">
      <c r="I361" s="8"/>
      <c r="J361" s="8"/>
      <c r="K361" s="8"/>
      <c r="P361" s="26"/>
    </row>
    <row r="362" spans="9:16" ht="12.5">
      <c r="I362" s="8"/>
      <c r="J362" s="8"/>
      <c r="K362" s="8"/>
      <c r="P362" s="26"/>
    </row>
    <row r="363" spans="9:16" ht="12.5">
      <c r="I363" s="8"/>
      <c r="J363" s="8"/>
      <c r="K363" s="8"/>
      <c r="P363" s="26"/>
    </row>
    <row r="364" spans="9:16" ht="12.5">
      <c r="I364" s="8"/>
      <c r="J364" s="8"/>
      <c r="K364" s="8"/>
      <c r="P364" s="26"/>
    </row>
    <row r="365" spans="9:16" ht="12.5">
      <c r="I365" s="8"/>
      <c r="J365" s="8"/>
      <c r="K365" s="8"/>
      <c r="P365" s="26"/>
    </row>
    <row r="366" spans="9:16" ht="12.5">
      <c r="I366" s="8"/>
      <c r="J366" s="8"/>
      <c r="K366" s="8"/>
      <c r="P366" s="26"/>
    </row>
    <row r="367" spans="9:16" ht="12.5">
      <c r="I367" s="8"/>
      <c r="J367" s="8"/>
      <c r="K367" s="8"/>
      <c r="P367" s="26"/>
    </row>
    <row r="368" spans="9:16" ht="12.5">
      <c r="I368" s="8"/>
      <c r="J368" s="8"/>
      <c r="K368" s="8"/>
      <c r="P368" s="26"/>
    </row>
    <row r="369" spans="9:16" ht="12.5">
      <c r="I369" s="8"/>
      <c r="J369" s="8"/>
      <c r="K369" s="8"/>
      <c r="P369" s="26"/>
    </row>
    <row r="370" spans="9:16" ht="12.5">
      <c r="I370" s="8"/>
      <c r="J370" s="8"/>
      <c r="K370" s="8"/>
      <c r="P370" s="26"/>
    </row>
    <row r="371" spans="9:16" ht="12.5">
      <c r="I371" s="8"/>
      <c r="J371" s="8"/>
      <c r="K371" s="8"/>
      <c r="P371" s="26"/>
    </row>
    <row r="372" spans="9:16" ht="12.5">
      <c r="I372" s="8"/>
      <c r="J372" s="8"/>
      <c r="K372" s="8"/>
      <c r="P372" s="26"/>
    </row>
    <row r="373" spans="9:16" ht="12.5">
      <c r="I373" s="8"/>
      <c r="J373" s="8"/>
      <c r="K373" s="8"/>
      <c r="P373" s="26"/>
    </row>
    <row r="374" spans="9:16" ht="12.5">
      <c r="I374" s="8"/>
      <c r="J374" s="8"/>
      <c r="K374" s="8"/>
      <c r="P374" s="26"/>
    </row>
    <row r="375" spans="9:16" ht="12.5">
      <c r="I375" s="8"/>
      <c r="J375" s="8"/>
      <c r="K375" s="8"/>
      <c r="P375" s="26"/>
    </row>
    <row r="376" spans="9:16" ht="12.5">
      <c r="I376" s="8"/>
      <c r="J376" s="8"/>
      <c r="K376" s="8"/>
      <c r="P376" s="26"/>
    </row>
    <row r="377" spans="9:16" ht="12.5">
      <c r="I377" s="8"/>
      <c r="J377" s="8"/>
      <c r="K377" s="8"/>
      <c r="P377" s="26"/>
    </row>
    <row r="378" spans="9:16" ht="12.5">
      <c r="I378" s="8"/>
      <c r="J378" s="8"/>
      <c r="K378" s="8"/>
      <c r="P378" s="26"/>
    </row>
    <row r="379" spans="9:16" ht="12.5">
      <c r="I379" s="8"/>
      <c r="J379" s="8"/>
      <c r="K379" s="8"/>
      <c r="P379" s="26"/>
    </row>
    <row r="380" spans="9:16" ht="12.5">
      <c r="I380" s="8"/>
      <c r="J380" s="8"/>
      <c r="K380" s="8"/>
      <c r="P380" s="26"/>
    </row>
    <row r="381" spans="9:16" ht="12.5">
      <c r="I381" s="8"/>
      <c r="J381" s="8"/>
      <c r="K381" s="8"/>
      <c r="P381" s="26"/>
    </row>
    <row r="382" spans="9:16" ht="12.5">
      <c r="I382" s="8"/>
      <c r="J382" s="8"/>
      <c r="K382" s="8"/>
      <c r="P382" s="26"/>
    </row>
    <row r="383" spans="9:16" ht="12.5">
      <c r="I383" s="8"/>
      <c r="J383" s="8"/>
      <c r="K383" s="8"/>
      <c r="P383" s="26"/>
    </row>
    <row r="384" spans="9:16" ht="12.5">
      <c r="I384" s="8"/>
      <c r="J384" s="8"/>
      <c r="K384" s="8"/>
      <c r="P384" s="26"/>
    </row>
    <row r="385" spans="9:16" ht="12.5">
      <c r="I385" s="8"/>
      <c r="J385" s="8"/>
      <c r="K385" s="8"/>
      <c r="P385" s="26"/>
    </row>
    <row r="386" spans="9:16" ht="12.5">
      <c r="I386" s="8"/>
      <c r="J386" s="8"/>
      <c r="K386" s="8"/>
      <c r="P386" s="26"/>
    </row>
    <row r="387" spans="9:16" ht="12.5">
      <c r="I387" s="8"/>
      <c r="J387" s="8"/>
      <c r="K387" s="8"/>
      <c r="P387" s="26"/>
    </row>
    <row r="388" spans="9:16" ht="12.5">
      <c r="I388" s="8"/>
      <c r="J388" s="8"/>
      <c r="K388" s="8"/>
      <c r="P388" s="26"/>
    </row>
    <row r="389" spans="9:16" ht="12.5">
      <c r="I389" s="8"/>
      <c r="J389" s="8"/>
      <c r="K389" s="8"/>
      <c r="P389" s="26"/>
    </row>
    <row r="390" spans="9:16" ht="12.5">
      <c r="I390" s="8"/>
      <c r="J390" s="8"/>
      <c r="K390" s="8"/>
      <c r="P390" s="26"/>
    </row>
    <row r="391" spans="9:16" ht="12.5">
      <c r="I391" s="8"/>
      <c r="J391" s="8"/>
      <c r="K391" s="8"/>
      <c r="P391" s="26"/>
    </row>
    <row r="392" spans="9:16" ht="12.5">
      <c r="I392" s="8"/>
      <c r="J392" s="8"/>
      <c r="K392" s="8"/>
      <c r="P392" s="26"/>
    </row>
    <row r="393" spans="9:16" ht="12.5">
      <c r="I393" s="8"/>
      <c r="J393" s="8"/>
      <c r="K393" s="8"/>
      <c r="P393" s="26"/>
    </row>
    <row r="394" spans="9:16" ht="12.5">
      <c r="I394" s="8"/>
      <c r="J394" s="8"/>
      <c r="K394" s="8"/>
      <c r="P394" s="26"/>
    </row>
    <row r="395" spans="9:16" ht="12.5">
      <c r="I395" s="8"/>
      <c r="J395" s="8"/>
      <c r="K395" s="8"/>
      <c r="P395" s="26"/>
    </row>
    <row r="396" spans="9:16" ht="12.5">
      <c r="I396" s="8"/>
      <c r="J396" s="8"/>
      <c r="K396" s="8"/>
      <c r="P396" s="26"/>
    </row>
    <row r="397" spans="9:16" ht="12.5">
      <c r="I397" s="8"/>
      <c r="J397" s="8"/>
      <c r="K397" s="8"/>
      <c r="P397" s="26"/>
    </row>
    <row r="398" spans="9:16" ht="12.5">
      <c r="I398" s="8"/>
      <c r="J398" s="8"/>
      <c r="K398" s="8"/>
      <c r="P398" s="26"/>
    </row>
    <row r="399" spans="9:16" ht="12.5">
      <c r="I399" s="8"/>
      <c r="J399" s="8"/>
      <c r="K399" s="8"/>
      <c r="P399" s="26"/>
    </row>
    <row r="400" spans="9:16" ht="12.5">
      <c r="I400" s="8"/>
      <c r="J400" s="8"/>
      <c r="K400" s="8"/>
      <c r="P400" s="26"/>
    </row>
    <row r="401" spans="9:16" ht="12.5">
      <c r="I401" s="8"/>
      <c r="J401" s="8"/>
      <c r="K401" s="8"/>
      <c r="P401" s="26"/>
    </row>
    <row r="402" spans="9:16" ht="12.5">
      <c r="I402" s="8"/>
      <c r="J402" s="8"/>
      <c r="K402" s="8"/>
      <c r="P402" s="26"/>
    </row>
    <row r="403" spans="9:16" ht="12.5">
      <c r="I403" s="8"/>
      <c r="J403" s="8"/>
      <c r="K403" s="8"/>
      <c r="P403" s="26"/>
    </row>
    <row r="404" spans="9:16" ht="12.5">
      <c r="I404" s="8"/>
      <c r="J404" s="8"/>
      <c r="K404" s="8"/>
      <c r="P404" s="26"/>
    </row>
    <row r="405" spans="9:16" ht="12.5">
      <c r="I405" s="8"/>
      <c r="J405" s="8"/>
      <c r="K405" s="8"/>
      <c r="P405" s="26"/>
    </row>
    <row r="406" spans="9:16" ht="12.5">
      <c r="I406" s="8"/>
      <c r="J406" s="8"/>
      <c r="K406" s="8"/>
      <c r="P406" s="26"/>
    </row>
    <row r="407" spans="9:16" ht="12.5">
      <c r="I407" s="8"/>
      <c r="J407" s="8"/>
      <c r="K407" s="8"/>
      <c r="P407" s="26"/>
    </row>
    <row r="408" spans="9:16" ht="12.5">
      <c r="I408" s="8"/>
      <c r="J408" s="8"/>
      <c r="K408" s="8"/>
      <c r="P408" s="26"/>
    </row>
    <row r="409" spans="9:16" ht="12.5">
      <c r="I409" s="8"/>
      <c r="J409" s="8"/>
      <c r="K409" s="8"/>
      <c r="P409" s="26"/>
    </row>
    <row r="410" spans="9:16" ht="12.5">
      <c r="I410" s="8"/>
      <c r="J410" s="8"/>
      <c r="K410" s="8"/>
      <c r="P410" s="26"/>
    </row>
    <row r="411" spans="9:16" ht="12.5">
      <c r="I411" s="8"/>
      <c r="J411" s="8"/>
      <c r="K411" s="8"/>
      <c r="P411" s="26"/>
    </row>
    <row r="412" spans="9:16" ht="12.5">
      <c r="I412" s="8"/>
      <c r="J412" s="8"/>
      <c r="K412" s="8"/>
      <c r="P412" s="26"/>
    </row>
    <row r="413" spans="9:16" ht="12.5">
      <c r="I413" s="8"/>
      <c r="J413" s="8"/>
      <c r="K413" s="8"/>
      <c r="P413" s="26"/>
    </row>
    <row r="414" spans="9:16" ht="12.5">
      <c r="I414" s="8"/>
      <c r="J414" s="8"/>
      <c r="K414" s="8"/>
      <c r="P414" s="26"/>
    </row>
    <row r="415" spans="9:16" ht="12.5">
      <c r="I415" s="8"/>
      <c r="J415" s="8"/>
      <c r="K415" s="8"/>
      <c r="P415" s="26"/>
    </row>
    <row r="416" spans="9:16" ht="12.5">
      <c r="I416" s="8"/>
      <c r="J416" s="8"/>
      <c r="K416" s="8"/>
      <c r="P416" s="26"/>
    </row>
    <row r="417" spans="9:16" ht="12.5">
      <c r="I417" s="8"/>
      <c r="J417" s="8"/>
      <c r="K417" s="8"/>
      <c r="P417" s="26"/>
    </row>
    <row r="418" spans="9:16" ht="12.5">
      <c r="I418" s="8"/>
      <c r="J418" s="8"/>
      <c r="K418" s="8"/>
      <c r="P418" s="26"/>
    </row>
    <row r="419" spans="9:16" ht="12.5">
      <c r="I419" s="8"/>
      <c r="J419" s="8"/>
      <c r="K419" s="8"/>
      <c r="P419" s="26"/>
    </row>
    <row r="420" spans="9:16" ht="12.5">
      <c r="I420" s="8"/>
      <c r="J420" s="8"/>
      <c r="K420" s="8"/>
      <c r="P420" s="26"/>
    </row>
    <row r="421" spans="9:16" ht="12.5">
      <c r="I421" s="8"/>
      <c r="J421" s="8"/>
      <c r="K421" s="8"/>
      <c r="P421" s="26"/>
    </row>
    <row r="422" spans="9:16" ht="12.5">
      <c r="I422" s="8"/>
      <c r="J422" s="8"/>
      <c r="K422" s="8"/>
      <c r="P422" s="26"/>
    </row>
    <row r="423" spans="9:16" ht="12.5">
      <c r="I423" s="8"/>
      <c r="J423" s="8"/>
      <c r="K423" s="8"/>
      <c r="P423" s="26"/>
    </row>
    <row r="424" spans="9:16" ht="12.5">
      <c r="I424" s="8"/>
      <c r="J424" s="8"/>
      <c r="K424" s="8"/>
      <c r="P424" s="26"/>
    </row>
    <row r="425" spans="9:16" ht="12.5">
      <c r="I425" s="8"/>
      <c r="J425" s="8"/>
      <c r="K425" s="8"/>
      <c r="P425" s="26"/>
    </row>
    <row r="426" spans="9:16" ht="12.5">
      <c r="I426" s="8"/>
      <c r="J426" s="8"/>
      <c r="K426" s="8"/>
      <c r="P426" s="26"/>
    </row>
    <row r="427" spans="9:16" ht="12.5">
      <c r="I427" s="8"/>
      <c r="J427" s="8"/>
      <c r="K427" s="8"/>
      <c r="P427" s="26"/>
    </row>
    <row r="428" spans="9:16" ht="12.5">
      <c r="I428" s="8"/>
      <c r="J428" s="8"/>
      <c r="K428" s="8"/>
      <c r="P428" s="26"/>
    </row>
    <row r="429" spans="9:16" ht="12.5">
      <c r="I429" s="8"/>
      <c r="J429" s="8"/>
      <c r="K429" s="8"/>
      <c r="P429" s="26"/>
    </row>
    <row r="430" spans="9:16" ht="12.5">
      <c r="I430" s="8"/>
      <c r="J430" s="8"/>
      <c r="K430" s="8"/>
      <c r="P430" s="26"/>
    </row>
    <row r="431" spans="9:16" ht="12.5">
      <c r="I431" s="8"/>
      <c r="J431" s="8"/>
      <c r="K431" s="8"/>
      <c r="P431" s="26"/>
    </row>
    <row r="432" spans="9:16" ht="12.5">
      <c r="I432" s="8"/>
      <c r="J432" s="8"/>
      <c r="K432" s="8"/>
      <c r="P432" s="26"/>
    </row>
    <row r="433" spans="9:16" ht="12.5">
      <c r="I433" s="8"/>
      <c r="J433" s="8"/>
      <c r="K433" s="8"/>
      <c r="P433" s="26"/>
    </row>
    <row r="434" spans="9:16" ht="12.5">
      <c r="I434" s="8"/>
      <c r="J434" s="8"/>
      <c r="K434" s="8"/>
      <c r="P434" s="26"/>
    </row>
    <row r="435" spans="9:16" ht="12.5">
      <c r="I435" s="8"/>
      <c r="J435" s="8"/>
      <c r="K435" s="8"/>
      <c r="P435" s="26"/>
    </row>
    <row r="436" spans="9:16" ht="12.5">
      <c r="I436" s="8"/>
      <c r="J436" s="8"/>
      <c r="K436" s="8"/>
      <c r="P436" s="26"/>
    </row>
    <row r="437" spans="9:16" ht="12.5">
      <c r="I437" s="8"/>
      <c r="J437" s="8"/>
      <c r="K437" s="8"/>
      <c r="P437" s="26"/>
    </row>
    <row r="438" spans="9:16" ht="12.5">
      <c r="I438" s="8"/>
      <c r="J438" s="8"/>
      <c r="K438" s="8"/>
      <c r="P438" s="26"/>
    </row>
    <row r="439" spans="9:16" ht="12.5">
      <c r="I439" s="8"/>
      <c r="J439" s="8"/>
      <c r="K439" s="8"/>
      <c r="P439" s="26"/>
    </row>
    <row r="440" spans="9:16" ht="12.5">
      <c r="I440" s="8"/>
      <c r="J440" s="8"/>
      <c r="K440" s="8"/>
      <c r="P440" s="26"/>
    </row>
    <row r="441" spans="9:16" ht="12.5">
      <c r="I441" s="8"/>
      <c r="J441" s="8"/>
      <c r="K441" s="8"/>
      <c r="P441" s="26"/>
    </row>
    <row r="442" spans="9:16" ht="12.5">
      <c r="I442" s="8"/>
      <c r="J442" s="8"/>
      <c r="K442" s="8"/>
      <c r="P442" s="26"/>
    </row>
    <row r="443" spans="9:16" ht="12.5">
      <c r="I443" s="8"/>
      <c r="J443" s="8"/>
      <c r="K443" s="8"/>
      <c r="P443" s="26"/>
    </row>
    <row r="444" spans="9:16" ht="12.5">
      <c r="I444" s="8"/>
      <c r="J444" s="8"/>
      <c r="K444" s="8"/>
      <c r="P444" s="26"/>
    </row>
    <row r="445" spans="9:16" ht="12.5">
      <c r="I445" s="8"/>
      <c r="J445" s="8"/>
      <c r="K445" s="8"/>
      <c r="P445" s="26"/>
    </row>
    <row r="446" spans="9:16" ht="12.5">
      <c r="I446" s="8"/>
      <c r="J446" s="8"/>
      <c r="K446" s="8"/>
      <c r="P446" s="26"/>
    </row>
    <row r="447" spans="9:16" ht="12.5">
      <c r="I447" s="8"/>
      <c r="J447" s="8"/>
      <c r="K447" s="8"/>
      <c r="P447" s="26"/>
    </row>
    <row r="448" spans="9:16" ht="12.5">
      <c r="I448" s="8"/>
      <c r="J448" s="8"/>
      <c r="K448" s="8"/>
      <c r="P448" s="26"/>
    </row>
    <row r="449" spans="9:16" ht="12.5">
      <c r="I449" s="8"/>
      <c r="J449" s="8"/>
      <c r="K449" s="8"/>
      <c r="P449" s="26"/>
    </row>
    <row r="450" spans="9:16" ht="12.5">
      <c r="I450" s="8"/>
      <c r="J450" s="8"/>
      <c r="K450" s="8"/>
      <c r="P450" s="26"/>
    </row>
    <row r="451" spans="9:16" ht="12.5">
      <c r="I451" s="8"/>
      <c r="J451" s="8"/>
      <c r="K451" s="8"/>
      <c r="P451" s="26"/>
    </row>
    <row r="452" spans="9:16" ht="12.5">
      <c r="I452" s="8"/>
      <c r="J452" s="8"/>
      <c r="K452" s="8"/>
      <c r="P452" s="26"/>
    </row>
    <row r="453" spans="9:16" ht="12.5">
      <c r="I453" s="8"/>
      <c r="J453" s="8"/>
      <c r="K453" s="8"/>
      <c r="P453" s="26"/>
    </row>
    <row r="454" spans="9:16" ht="12.5">
      <c r="I454" s="8"/>
      <c r="J454" s="8"/>
      <c r="K454" s="8"/>
      <c r="P454" s="26"/>
    </row>
    <row r="455" spans="9:16" ht="12.5">
      <c r="I455" s="8"/>
      <c r="J455" s="8"/>
      <c r="K455" s="8"/>
      <c r="P455" s="26"/>
    </row>
    <row r="456" spans="9:16" ht="12.5">
      <c r="I456" s="8"/>
      <c r="J456" s="8"/>
      <c r="K456" s="8"/>
      <c r="P456" s="26"/>
    </row>
    <row r="457" spans="9:16" ht="12.5">
      <c r="I457" s="8"/>
      <c r="J457" s="8"/>
      <c r="K457" s="8"/>
      <c r="P457" s="26"/>
    </row>
    <row r="458" spans="9:16" ht="12.5">
      <c r="I458" s="8"/>
      <c r="J458" s="8"/>
      <c r="K458" s="8"/>
      <c r="P458" s="26"/>
    </row>
    <row r="459" spans="9:16" ht="12.5">
      <c r="I459" s="8"/>
      <c r="J459" s="8"/>
      <c r="K459" s="8"/>
      <c r="P459" s="26"/>
    </row>
    <row r="460" spans="9:16" ht="12.5">
      <c r="I460" s="8"/>
      <c r="J460" s="8"/>
      <c r="K460" s="8"/>
      <c r="P460" s="26"/>
    </row>
    <row r="461" spans="9:16" ht="12.5">
      <c r="I461" s="8"/>
      <c r="J461" s="8"/>
      <c r="K461" s="8"/>
      <c r="P461" s="26"/>
    </row>
    <row r="462" spans="9:16" ht="12.5">
      <c r="I462" s="8"/>
      <c r="J462" s="8"/>
      <c r="K462" s="8"/>
      <c r="P462" s="26"/>
    </row>
    <row r="463" spans="9:16" ht="12.5">
      <c r="I463" s="8"/>
      <c r="J463" s="8"/>
      <c r="K463" s="8"/>
      <c r="P463" s="26"/>
    </row>
    <row r="464" spans="9:16" ht="12.5">
      <c r="I464" s="8"/>
      <c r="J464" s="8"/>
      <c r="K464" s="8"/>
      <c r="P464" s="26"/>
    </row>
    <row r="465" spans="9:16" ht="12.5">
      <c r="I465" s="8"/>
      <c r="J465" s="8"/>
      <c r="K465" s="8"/>
      <c r="P465" s="26"/>
    </row>
    <row r="466" spans="9:16" ht="12.5">
      <c r="I466" s="8"/>
      <c r="J466" s="8"/>
      <c r="K466" s="8"/>
      <c r="P466" s="26"/>
    </row>
    <row r="467" spans="9:16" ht="12.5">
      <c r="I467" s="8"/>
      <c r="J467" s="8"/>
      <c r="K467" s="8"/>
      <c r="P467" s="26"/>
    </row>
    <row r="468" spans="9:16" ht="12.5">
      <c r="I468" s="8"/>
      <c r="J468" s="8"/>
      <c r="K468" s="8"/>
      <c r="P468" s="26"/>
    </row>
    <row r="469" spans="9:16" ht="12.5">
      <c r="I469" s="8"/>
      <c r="J469" s="8"/>
      <c r="K469" s="8"/>
      <c r="P469" s="26"/>
    </row>
    <row r="470" spans="9:16" ht="12.5">
      <c r="I470" s="8"/>
      <c r="J470" s="8"/>
      <c r="K470" s="8"/>
      <c r="P470" s="26"/>
    </row>
    <row r="471" spans="9:16" ht="12.5">
      <c r="I471" s="8"/>
      <c r="J471" s="8"/>
      <c r="K471" s="8"/>
      <c r="P471" s="26"/>
    </row>
    <row r="472" spans="9:16" ht="12.5">
      <c r="I472" s="8"/>
      <c r="J472" s="8"/>
      <c r="K472" s="8"/>
      <c r="P472" s="26"/>
    </row>
    <row r="473" spans="9:16" ht="12.5">
      <c r="I473" s="8"/>
      <c r="J473" s="8"/>
      <c r="K473" s="8"/>
      <c r="P473" s="26"/>
    </row>
    <row r="474" spans="9:16" ht="12.5">
      <c r="I474" s="8"/>
      <c r="J474" s="8"/>
      <c r="K474" s="8"/>
      <c r="P474" s="26"/>
    </row>
    <row r="475" spans="9:16" ht="12.5">
      <c r="I475" s="8"/>
      <c r="J475" s="8"/>
      <c r="K475" s="8"/>
      <c r="P475" s="26"/>
    </row>
    <row r="476" spans="9:16" ht="12.5">
      <c r="I476" s="8"/>
      <c r="J476" s="8"/>
      <c r="K476" s="8"/>
      <c r="P476" s="26"/>
    </row>
    <row r="477" spans="9:16" ht="12.5">
      <c r="I477" s="8"/>
      <c r="J477" s="8"/>
      <c r="K477" s="8"/>
      <c r="P477" s="26"/>
    </row>
    <row r="478" spans="9:16" ht="12.5">
      <c r="I478" s="8"/>
      <c r="J478" s="8"/>
      <c r="K478" s="8"/>
      <c r="P478" s="26"/>
    </row>
    <row r="479" spans="9:16" ht="12.5">
      <c r="I479" s="8"/>
      <c r="J479" s="8"/>
      <c r="K479" s="8"/>
      <c r="P479" s="26"/>
    </row>
    <row r="480" spans="9:16" ht="12.5">
      <c r="I480" s="8"/>
      <c r="J480" s="8"/>
      <c r="K480" s="8"/>
      <c r="P480" s="26"/>
    </row>
    <row r="481" spans="9:16" ht="12.5">
      <c r="I481" s="8"/>
      <c r="J481" s="8"/>
      <c r="K481" s="8"/>
      <c r="P481" s="26"/>
    </row>
    <row r="482" spans="9:16" ht="12.5">
      <c r="I482" s="8"/>
      <c r="J482" s="8"/>
      <c r="K482" s="8"/>
      <c r="P482" s="26"/>
    </row>
    <row r="483" spans="9:16" ht="12.5">
      <c r="I483" s="8"/>
      <c r="J483" s="8"/>
      <c r="K483" s="8"/>
      <c r="P483" s="26"/>
    </row>
    <row r="484" spans="9:16" ht="12.5">
      <c r="I484" s="8"/>
      <c r="J484" s="8"/>
      <c r="K484" s="8"/>
      <c r="P484" s="26"/>
    </row>
    <row r="485" spans="9:16" ht="12.5">
      <c r="I485" s="8"/>
      <c r="J485" s="8"/>
      <c r="K485" s="8"/>
      <c r="P485" s="26"/>
    </row>
    <row r="486" spans="9:16" ht="12.5">
      <c r="I486" s="8"/>
      <c r="J486" s="8"/>
      <c r="K486" s="8"/>
      <c r="P486" s="26"/>
    </row>
    <row r="487" spans="9:16" ht="12.5">
      <c r="I487" s="8"/>
      <c r="J487" s="8"/>
      <c r="K487" s="8"/>
      <c r="P487" s="26"/>
    </row>
    <row r="488" spans="9:16" ht="12.5">
      <c r="I488" s="8"/>
      <c r="J488" s="8"/>
      <c r="K488" s="8"/>
      <c r="P488" s="26"/>
    </row>
    <row r="489" spans="9:16" ht="12.5">
      <c r="I489" s="8"/>
      <c r="J489" s="8"/>
      <c r="K489" s="8"/>
      <c r="P489" s="26"/>
    </row>
    <row r="490" spans="9:16" ht="12.5">
      <c r="I490" s="8"/>
      <c r="J490" s="8"/>
      <c r="K490" s="8"/>
      <c r="P490" s="26"/>
    </row>
    <row r="491" spans="9:16" ht="12.5">
      <c r="I491" s="8"/>
      <c r="J491" s="8"/>
      <c r="K491" s="8"/>
      <c r="P491" s="26"/>
    </row>
    <row r="492" spans="9:16" ht="12.5">
      <c r="I492" s="8"/>
      <c r="J492" s="8"/>
      <c r="K492" s="8"/>
      <c r="P492" s="26"/>
    </row>
    <row r="493" spans="9:16" ht="12.5">
      <c r="I493" s="8"/>
      <c r="J493" s="8"/>
      <c r="K493" s="8"/>
      <c r="P493" s="26"/>
    </row>
    <row r="494" spans="9:16" ht="12.5">
      <c r="I494" s="8"/>
      <c r="J494" s="8"/>
      <c r="K494" s="8"/>
      <c r="P494" s="26"/>
    </row>
    <row r="495" spans="9:16" ht="12.5">
      <c r="I495" s="8"/>
      <c r="J495" s="8"/>
      <c r="K495" s="8"/>
      <c r="P495" s="26"/>
    </row>
    <row r="496" spans="9:16" ht="12.5">
      <c r="I496" s="8"/>
      <c r="J496" s="8"/>
      <c r="K496" s="8"/>
      <c r="P496" s="26"/>
    </row>
    <row r="497" spans="9:16" ht="12.5">
      <c r="I497" s="8"/>
      <c r="J497" s="8"/>
      <c r="K497" s="8"/>
      <c r="P497" s="26"/>
    </row>
    <row r="498" spans="9:16" ht="12.5">
      <c r="I498" s="8"/>
      <c r="J498" s="8"/>
      <c r="K498" s="8"/>
      <c r="P498" s="26"/>
    </row>
    <row r="499" spans="9:16" ht="12.5">
      <c r="I499" s="8"/>
      <c r="J499" s="8"/>
      <c r="K499" s="8"/>
      <c r="P499" s="26"/>
    </row>
    <row r="500" spans="9:16" ht="12.5">
      <c r="I500" s="8"/>
      <c r="J500" s="8"/>
      <c r="K500" s="8"/>
      <c r="P500" s="26"/>
    </row>
    <row r="501" spans="9:16" ht="12.5">
      <c r="I501" s="8"/>
      <c r="J501" s="8"/>
      <c r="K501" s="8"/>
      <c r="P501" s="26"/>
    </row>
    <row r="502" spans="9:16" ht="12.5">
      <c r="I502" s="8"/>
      <c r="J502" s="8"/>
      <c r="K502" s="8"/>
      <c r="P502" s="26"/>
    </row>
    <row r="503" spans="9:16" ht="12.5">
      <c r="I503" s="8"/>
      <c r="J503" s="8"/>
      <c r="K503" s="8"/>
      <c r="P503" s="26"/>
    </row>
    <row r="504" spans="9:16" ht="12.5">
      <c r="I504" s="8"/>
      <c r="J504" s="8"/>
      <c r="K504" s="8"/>
      <c r="P504" s="26"/>
    </row>
    <row r="505" spans="9:16" ht="12.5">
      <c r="I505" s="8"/>
      <c r="J505" s="8"/>
      <c r="K505" s="8"/>
      <c r="P505" s="26"/>
    </row>
    <row r="506" spans="9:16" ht="12.5">
      <c r="I506" s="8"/>
      <c r="J506" s="8"/>
      <c r="K506" s="8"/>
      <c r="P506" s="26"/>
    </row>
    <row r="507" spans="9:16" ht="12.5">
      <c r="I507" s="8"/>
      <c r="J507" s="8"/>
      <c r="K507" s="8"/>
      <c r="P507" s="26"/>
    </row>
    <row r="508" spans="9:16" ht="12.5">
      <c r="I508" s="8"/>
      <c r="J508" s="8"/>
      <c r="K508" s="8"/>
      <c r="P508" s="26"/>
    </row>
    <row r="509" spans="9:16" ht="12.5">
      <c r="I509" s="8"/>
      <c r="J509" s="8"/>
      <c r="K509" s="8"/>
      <c r="P509" s="26"/>
    </row>
    <row r="510" spans="9:16" ht="12.5">
      <c r="I510" s="8"/>
      <c r="J510" s="8"/>
      <c r="K510" s="8"/>
      <c r="P510" s="26"/>
    </row>
    <row r="511" spans="9:16" ht="12.5">
      <c r="I511" s="8"/>
      <c r="J511" s="8"/>
      <c r="K511" s="8"/>
      <c r="P511" s="26"/>
    </row>
    <row r="512" spans="9:16" ht="12.5">
      <c r="I512" s="8"/>
      <c r="J512" s="8"/>
      <c r="K512" s="8"/>
      <c r="P512" s="26"/>
    </row>
    <row r="513" spans="9:16" ht="12.5">
      <c r="I513" s="8"/>
      <c r="J513" s="8"/>
      <c r="K513" s="8"/>
      <c r="P513" s="26"/>
    </row>
    <row r="514" spans="9:16" ht="12.5">
      <c r="I514" s="8"/>
      <c r="J514" s="8"/>
      <c r="K514" s="8"/>
      <c r="P514" s="26"/>
    </row>
    <row r="515" spans="9:16" ht="12.5">
      <c r="I515" s="8"/>
      <c r="J515" s="8"/>
      <c r="K515" s="8"/>
      <c r="P515" s="26"/>
    </row>
    <row r="516" spans="9:16" ht="12.5">
      <c r="I516" s="8"/>
      <c r="J516" s="8"/>
      <c r="K516" s="8"/>
      <c r="P516" s="26"/>
    </row>
    <row r="517" spans="9:16" ht="12.5">
      <c r="I517" s="8"/>
      <c r="J517" s="8"/>
      <c r="K517" s="8"/>
      <c r="P517" s="26"/>
    </row>
    <row r="518" spans="9:16" ht="12.5">
      <c r="I518" s="8"/>
      <c r="J518" s="8"/>
      <c r="K518" s="8"/>
      <c r="P518" s="26"/>
    </row>
    <row r="519" spans="9:16" ht="12.5">
      <c r="I519" s="8"/>
      <c r="J519" s="8"/>
      <c r="K519" s="8"/>
      <c r="P519" s="26"/>
    </row>
    <row r="520" spans="9:16" ht="12.5">
      <c r="I520" s="8"/>
      <c r="J520" s="8"/>
      <c r="K520" s="8"/>
      <c r="P520" s="26"/>
    </row>
    <row r="521" spans="9:16" ht="12.5">
      <c r="I521" s="8"/>
      <c r="J521" s="8"/>
      <c r="K521" s="8"/>
      <c r="P521" s="26"/>
    </row>
    <row r="522" spans="9:16" ht="12.5">
      <c r="I522" s="8"/>
      <c r="J522" s="8"/>
      <c r="K522" s="8"/>
      <c r="P522" s="26"/>
    </row>
    <row r="523" spans="9:16" ht="12.5">
      <c r="I523" s="8"/>
      <c r="J523" s="8"/>
      <c r="K523" s="8"/>
      <c r="P523" s="26"/>
    </row>
    <row r="524" spans="9:16" ht="12.5">
      <c r="I524" s="8"/>
      <c r="J524" s="8"/>
      <c r="K524" s="8"/>
      <c r="P524" s="26"/>
    </row>
    <row r="525" spans="9:16" ht="12.5">
      <c r="I525" s="8"/>
      <c r="J525" s="8"/>
      <c r="K525" s="8"/>
      <c r="P525" s="26"/>
    </row>
    <row r="526" spans="9:16" ht="12.5">
      <c r="I526" s="8"/>
      <c r="J526" s="8"/>
      <c r="K526" s="8"/>
      <c r="P526" s="26"/>
    </row>
    <row r="527" spans="9:16" ht="12.5">
      <c r="I527" s="8"/>
      <c r="J527" s="8"/>
      <c r="K527" s="8"/>
      <c r="P527" s="26"/>
    </row>
    <row r="528" spans="9:16" ht="12.5">
      <c r="I528" s="8"/>
      <c r="J528" s="8"/>
      <c r="K528" s="8"/>
      <c r="P528" s="26"/>
    </row>
    <row r="529" spans="9:16" ht="12.5">
      <c r="I529" s="8"/>
      <c r="J529" s="8"/>
      <c r="K529" s="8"/>
      <c r="P529" s="26"/>
    </row>
    <row r="530" spans="9:16" ht="12.5">
      <c r="I530" s="8"/>
      <c r="J530" s="8"/>
      <c r="K530" s="8"/>
      <c r="P530" s="26"/>
    </row>
    <row r="531" spans="9:16" ht="12.5">
      <c r="I531" s="8"/>
      <c r="J531" s="8"/>
      <c r="K531" s="8"/>
      <c r="P531" s="26"/>
    </row>
    <row r="532" spans="9:16" ht="12.5">
      <c r="I532" s="8"/>
      <c r="J532" s="8"/>
      <c r="K532" s="8"/>
      <c r="P532" s="26"/>
    </row>
    <row r="533" spans="9:16" ht="12.5">
      <c r="I533" s="8"/>
      <c r="J533" s="8"/>
      <c r="K533" s="8"/>
      <c r="P533" s="26"/>
    </row>
    <row r="534" spans="9:16" ht="12.5">
      <c r="I534" s="8"/>
      <c r="J534" s="8"/>
      <c r="K534" s="8"/>
      <c r="P534" s="26"/>
    </row>
    <row r="535" spans="9:16" ht="12.5">
      <c r="I535" s="8"/>
      <c r="J535" s="8"/>
      <c r="K535" s="8"/>
      <c r="P535" s="26"/>
    </row>
    <row r="536" spans="9:16" ht="12.5">
      <c r="I536" s="8"/>
      <c r="J536" s="8"/>
      <c r="K536" s="8"/>
      <c r="P536" s="26"/>
    </row>
    <row r="537" spans="9:16" ht="12.5">
      <c r="I537" s="8"/>
      <c r="J537" s="8"/>
      <c r="K537" s="8"/>
      <c r="P537" s="26"/>
    </row>
    <row r="538" spans="9:16" ht="12.5">
      <c r="I538" s="8"/>
      <c r="J538" s="8"/>
      <c r="K538" s="8"/>
      <c r="P538" s="26"/>
    </row>
    <row r="539" spans="9:16" ht="12.5">
      <c r="I539" s="8"/>
      <c r="J539" s="8"/>
      <c r="K539" s="8"/>
      <c r="P539" s="26"/>
    </row>
    <row r="540" spans="9:16" ht="12.5">
      <c r="I540" s="8"/>
      <c r="J540" s="8"/>
      <c r="K540" s="8"/>
      <c r="P540" s="26"/>
    </row>
    <row r="541" spans="9:16" ht="12.5">
      <c r="I541" s="8"/>
      <c r="J541" s="8"/>
      <c r="K541" s="8"/>
      <c r="P541" s="26"/>
    </row>
    <row r="542" spans="9:16" ht="12.5">
      <c r="I542" s="8"/>
      <c r="J542" s="8"/>
      <c r="K542" s="8"/>
      <c r="P542" s="26"/>
    </row>
    <row r="543" spans="9:16" ht="12.5">
      <c r="I543" s="8"/>
      <c r="J543" s="8"/>
      <c r="K543" s="8"/>
      <c r="P543" s="26"/>
    </row>
    <row r="544" spans="9:16" ht="12.5">
      <c r="I544" s="8"/>
      <c r="J544" s="8"/>
      <c r="K544" s="8"/>
      <c r="P544" s="26"/>
    </row>
    <row r="545" spans="9:16" ht="12.5">
      <c r="I545" s="8"/>
      <c r="J545" s="8"/>
      <c r="K545" s="8"/>
      <c r="P545" s="26"/>
    </row>
    <row r="546" spans="9:16" ht="12.5">
      <c r="I546" s="8"/>
      <c r="J546" s="8"/>
      <c r="K546" s="8"/>
      <c r="P546" s="26"/>
    </row>
    <row r="547" spans="9:16" ht="12.5">
      <c r="I547" s="8"/>
      <c r="J547" s="8"/>
      <c r="K547" s="8"/>
      <c r="P547" s="26"/>
    </row>
    <row r="548" spans="9:16" ht="12.5">
      <c r="I548" s="8"/>
      <c r="J548" s="8"/>
      <c r="K548" s="8"/>
      <c r="P548" s="26"/>
    </row>
    <row r="549" spans="9:16" ht="12.5">
      <c r="I549" s="8"/>
      <c r="J549" s="8"/>
      <c r="K549" s="8"/>
      <c r="P549" s="26"/>
    </row>
    <row r="550" spans="9:16" ht="12.5">
      <c r="I550" s="8"/>
      <c r="J550" s="8"/>
      <c r="K550" s="8"/>
      <c r="P550" s="26"/>
    </row>
    <row r="551" spans="9:16" ht="12.5">
      <c r="I551" s="8"/>
      <c r="J551" s="8"/>
      <c r="K551" s="8"/>
      <c r="P551" s="26"/>
    </row>
    <row r="552" spans="9:16" ht="12.5">
      <c r="I552" s="8"/>
      <c r="J552" s="8"/>
      <c r="K552" s="8"/>
      <c r="P552" s="26"/>
    </row>
    <row r="553" spans="9:16" ht="12.5">
      <c r="I553" s="8"/>
      <c r="J553" s="8"/>
      <c r="K553" s="8"/>
      <c r="P553" s="26"/>
    </row>
    <row r="554" spans="9:16" ht="12.5">
      <c r="I554" s="8"/>
      <c r="J554" s="8"/>
      <c r="K554" s="8"/>
      <c r="P554" s="26"/>
    </row>
    <row r="555" spans="9:16" ht="12.5">
      <c r="I555" s="8"/>
      <c r="J555" s="8"/>
      <c r="K555" s="8"/>
      <c r="P555" s="26"/>
    </row>
    <row r="556" spans="9:16" ht="12.5">
      <c r="I556" s="8"/>
      <c r="J556" s="8"/>
      <c r="K556" s="8"/>
      <c r="P556" s="26"/>
    </row>
    <row r="557" spans="9:16" ht="12.5">
      <c r="I557" s="8"/>
      <c r="J557" s="8"/>
      <c r="K557" s="8"/>
      <c r="P557" s="26"/>
    </row>
    <row r="558" spans="9:16" ht="12.5">
      <c r="I558" s="8"/>
      <c r="J558" s="8"/>
      <c r="K558" s="8"/>
      <c r="P558" s="26"/>
    </row>
    <row r="559" spans="9:16" ht="12.5">
      <c r="I559" s="8"/>
      <c r="J559" s="8"/>
      <c r="K559" s="8"/>
      <c r="P559" s="26"/>
    </row>
    <row r="560" spans="9:16" ht="12.5">
      <c r="I560" s="8"/>
      <c r="J560" s="8"/>
      <c r="K560" s="8"/>
      <c r="P560" s="26"/>
    </row>
    <row r="561" spans="9:16" ht="12.5">
      <c r="I561" s="8"/>
      <c r="J561" s="8"/>
      <c r="K561" s="8"/>
      <c r="P561" s="26"/>
    </row>
    <row r="562" spans="9:16" ht="12.5">
      <c r="I562" s="8"/>
      <c r="J562" s="8"/>
      <c r="K562" s="8"/>
      <c r="P562" s="26"/>
    </row>
    <row r="563" spans="9:16" ht="12.5">
      <c r="I563" s="8"/>
      <c r="J563" s="8"/>
      <c r="K563" s="8"/>
      <c r="P563" s="26"/>
    </row>
    <row r="564" spans="9:16" ht="12.5">
      <c r="I564" s="8"/>
      <c r="J564" s="8"/>
      <c r="K564" s="8"/>
      <c r="P564" s="26"/>
    </row>
    <row r="565" spans="9:16" ht="12.5">
      <c r="I565" s="8"/>
      <c r="J565" s="8"/>
      <c r="K565" s="8"/>
      <c r="P565" s="26"/>
    </row>
    <row r="566" spans="9:16" ht="12.5">
      <c r="I566" s="8"/>
      <c r="J566" s="8"/>
      <c r="K566" s="8"/>
      <c r="P566" s="26"/>
    </row>
    <row r="567" spans="9:16" ht="12.5">
      <c r="I567" s="8"/>
      <c r="J567" s="8"/>
      <c r="K567" s="8"/>
      <c r="P567" s="26"/>
    </row>
    <row r="568" spans="9:16" ht="12.5">
      <c r="I568" s="8"/>
      <c r="J568" s="8"/>
      <c r="K568" s="8"/>
      <c r="P568" s="26"/>
    </row>
    <row r="569" spans="9:16" ht="12.5">
      <c r="I569" s="8"/>
      <c r="J569" s="8"/>
      <c r="K569" s="8"/>
      <c r="P569" s="26"/>
    </row>
    <row r="570" spans="9:16" ht="12.5">
      <c r="I570" s="8"/>
      <c r="J570" s="8"/>
      <c r="K570" s="8"/>
      <c r="P570" s="26"/>
    </row>
    <row r="571" spans="9:16" ht="12.5">
      <c r="I571" s="8"/>
      <c r="J571" s="8"/>
      <c r="K571" s="8"/>
      <c r="P571" s="26"/>
    </row>
    <row r="572" spans="9:16" ht="12.5">
      <c r="I572" s="8"/>
      <c r="J572" s="8"/>
      <c r="K572" s="8"/>
      <c r="P572" s="26"/>
    </row>
    <row r="573" spans="9:16" ht="12.5">
      <c r="I573" s="8"/>
      <c r="J573" s="8"/>
      <c r="K573" s="8"/>
      <c r="P573" s="26"/>
    </row>
    <row r="574" spans="9:16" ht="12.5">
      <c r="I574" s="8"/>
      <c r="J574" s="8"/>
      <c r="K574" s="8"/>
      <c r="P574" s="26"/>
    </row>
    <row r="575" spans="9:16" ht="12.5">
      <c r="I575" s="8"/>
      <c r="J575" s="8"/>
      <c r="K575" s="8"/>
      <c r="P575" s="26"/>
    </row>
    <row r="576" spans="9:16" ht="12.5">
      <c r="I576" s="8"/>
      <c r="J576" s="8"/>
      <c r="K576" s="8"/>
      <c r="P576" s="26"/>
    </row>
    <row r="577" spans="9:16" ht="12.5">
      <c r="I577" s="8"/>
      <c r="J577" s="8"/>
      <c r="K577" s="8"/>
      <c r="P577" s="26"/>
    </row>
    <row r="578" spans="9:16" ht="12.5">
      <c r="I578" s="8"/>
      <c r="J578" s="8"/>
      <c r="K578" s="8"/>
      <c r="P578" s="26"/>
    </row>
    <row r="579" spans="9:16" ht="12.5">
      <c r="I579" s="8"/>
      <c r="J579" s="8"/>
      <c r="K579" s="8"/>
      <c r="P579" s="26"/>
    </row>
    <row r="580" spans="9:16" ht="12.5">
      <c r="I580" s="8"/>
      <c r="J580" s="8"/>
      <c r="K580" s="8"/>
      <c r="P580" s="26"/>
    </row>
    <row r="581" spans="9:16" ht="12.5">
      <c r="I581" s="8"/>
      <c r="J581" s="8"/>
      <c r="K581" s="8"/>
      <c r="P581" s="26"/>
    </row>
    <row r="582" spans="9:16" ht="12.5">
      <c r="I582" s="8"/>
      <c r="J582" s="8"/>
      <c r="K582" s="8"/>
      <c r="P582" s="26"/>
    </row>
    <row r="583" spans="9:16" ht="12.5">
      <c r="I583" s="8"/>
      <c r="J583" s="8"/>
      <c r="K583" s="8"/>
      <c r="P583" s="26"/>
    </row>
    <row r="584" spans="9:16" ht="12.5">
      <c r="I584" s="8"/>
      <c r="J584" s="8"/>
      <c r="K584" s="8"/>
      <c r="P584" s="26"/>
    </row>
    <row r="585" spans="9:16" ht="12.5">
      <c r="I585" s="8"/>
      <c r="J585" s="8"/>
      <c r="K585" s="8"/>
      <c r="P585" s="26"/>
    </row>
    <row r="586" spans="9:16" ht="12.5">
      <c r="I586" s="8"/>
      <c r="J586" s="8"/>
      <c r="K586" s="8"/>
      <c r="P586" s="26"/>
    </row>
    <row r="587" spans="9:16" ht="12.5">
      <c r="I587" s="8"/>
      <c r="J587" s="8"/>
      <c r="K587" s="8"/>
      <c r="P587" s="26"/>
    </row>
    <row r="588" spans="9:16" ht="12.5">
      <c r="I588" s="8"/>
      <c r="J588" s="8"/>
      <c r="K588" s="8"/>
      <c r="P588" s="26"/>
    </row>
    <row r="589" spans="9:16" ht="12.5">
      <c r="I589" s="8"/>
      <c r="J589" s="8"/>
      <c r="K589" s="8"/>
      <c r="P589" s="26"/>
    </row>
    <row r="590" spans="9:16" ht="12.5">
      <c r="I590" s="8"/>
      <c r="J590" s="8"/>
      <c r="K590" s="8"/>
      <c r="P590" s="26"/>
    </row>
    <row r="591" spans="9:16" ht="12.5">
      <c r="I591" s="8"/>
      <c r="J591" s="8"/>
      <c r="K591" s="8"/>
      <c r="P591" s="26"/>
    </row>
    <row r="592" spans="9:16" ht="12.5">
      <c r="I592" s="8"/>
      <c r="J592" s="8"/>
      <c r="K592" s="8"/>
      <c r="P592" s="26"/>
    </row>
    <row r="593" spans="9:16" ht="12.5">
      <c r="I593" s="8"/>
      <c r="J593" s="8"/>
      <c r="K593" s="8"/>
      <c r="P593" s="26"/>
    </row>
    <row r="594" spans="9:16" ht="12.5">
      <c r="I594" s="8"/>
      <c r="J594" s="8"/>
      <c r="K594" s="8"/>
      <c r="P594" s="26"/>
    </row>
    <row r="595" spans="9:16" ht="12.5">
      <c r="I595" s="8"/>
      <c r="J595" s="8"/>
      <c r="K595" s="8"/>
      <c r="P595" s="26"/>
    </row>
    <row r="596" spans="9:16" ht="12.5">
      <c r="I596" s="8"/>
      <c r="J596" s="8"/>
      <c r="K596" s="8"/>
      <c r="P596" s="26"/>
    </row>
    <row r="597" spans="9:16" ht="12.5">
      <c r="I597" s="8"/>
      <c r="J597" s="8"/>
      <c r="K597" s="8"/>
      <c r="P597" s="26"/>
    </row>
    <row r="598" spans="9:16" ht="12.5">
      <c r="I598" s="8"/>
      <c r="J598" s="8"/>
      <c r="K598" s="8"/>
      <c r="P598" s="26"/>
    </row>
    <row r="599" spans="9:16" ht="12.5">
      <c r="I599" s="8"/>
      <c r="J599" s="8"/>
      <c r="K599" s="8"/>
      <c r="P599" s="26"/>
    </row>
    <row r="600" spans="9:16" ht="12.5">
      <c r="I600" s="8"/>
      <c r="J600" s="8"/>
      <c r="K600" s="8"/>
      <c r="P600" s="26"/>
    </row>
    <row r="601" spans="9:16" ht="12.5">
      <c r="I601" s="8"/>
      <c r="J601" s="8"/>
      <c r="K601" s="8"/>
      <c r="P601" s="26"/>
    </row>
    <row r="602" spans="9:16" ht="12.5">
      <c r="I602" s="8"/>
      <c r="J602" s="8"/>
      <c r="K602" s="8"/>
      <c r="P602" s="26"/>
    </row>
    <row r="603" spans="9:16" ht="12.5">
      <c r="I603" s="8"/>
      <c r="J603" s="8"/>
      <c r="K603" s="8"/>
      <c r="P603" s="26"/>
    </row>
    <row r="604" spans="9:16" ht="12.5">
      <c r="I604" s="8"/>
      <c r="J604" s="8"/>
      <c r="K604" s="8"/>
      <c r="P604" s="26"/>
    </row>
    <row r="605" spans="9:16" ht="12.5">
      <c r="I605" s="8"/>
      <c r="J605" s="8"/>
      <c r="K605" s="8"/>
      <c r="P605" s="26"/>
    </row>
    <row r="606" spans="9:16" ht="12.5">
      <c r="I606" s="8"/>
      <c r="J606" s="8"/>
      <c r="K606" s="8"/>
      <c r="P606" s="26"/>
    </row>
    <row r="607" spans="9:16" ht="12.5">
      <c r="I607" s="8"/>
      <c r="J607" s="8"/>
      <c r="K607" s="8"/>
      <c r="P607" s="26"/>
    </row>
    <row r="608" spans="9:16" ht="12.5">
      <c r="I608" s="8"/>
      <c r="J608" s="8"/>
      <c r="K608" s="8"/>
      <c r="P608" s="26"/>
    </row>
    <row r="609" spans="9:16" ht="12.5">
      <c r="I609" s="8"/>
      <c r="J609" s="8"/>
      <c r="K609" s="8"/>
      <c r="P609" s="26"/>
    </row>
    <row r="610" spans="9:16" ht="12.5">
      <c r="I610" s="8"/>
      <c r="J610" s="8"/>
      <c r="K610" s="8"/>
      <c r="P610" s="26"/>
    </row>
    <row r="611" spans="9:16" ht="12.5">
      <c r="I611" s="8"/>
      <c r="J611" s="8"/>
      <c r="K611" s="8"/>
      <c r="P611" s="26"/>
    </row>
    <row r="612" spans="9:16" ht="12.5">
      <c r="I612" s="8"/>
      <c r="J612" s="8"/>
      <c r="K612" s="8"/>
      <c r="P612" s="26"/>
    </row>
    <row r="613" spans="9:16" ht="12.5">
      <c r="I613" s="8"/>
      <c r="J613" s="8"/>
      <c r="K613" s="8"/>
      <c r="P613" s="26"/>
    </row>
    <row r="614" spans="9:16" ht="12.5">
      <c r="I614" s="8"/>
      <c r="J614" s="8"/>
      <c r="K614" s="8"/>
      <c r="P614" s="26"/>
    </row>
    <row r="615" spans="9:16" ht="12.5">
      <c r="I615" s="8"/>
      <c r="J615" s="8"/>
      <c r="K615" s="8"/>
      <c r="P615" s="26"/>
    </row>
    <row r="616" spans="9:16" ht="12.5">
      <c r="I616" s="8"/>
      <c r="J616" s="8"/>
      <c r="K616" s="8"/>
      <c r="P616" s="26"/>
    </row>
    <row r="617" spans="9:16" ht="12.5">
      <c r="I617" s="8"/>
      <c r="J617" s="8"/>
      <c r="K617" s="8"/>
      <c r="P617" s="26"/>
    </row>
    <row r="618" spans="9:16" ht="12.5">
      <c r="I618" s="8"/>
      <c r="J618" s="8"/>
      <c r="K618" s="8"/>
      <c r="P618" s="26"/>
    </row>
    <row r="619" spans="9:16" ht="12.5">
      <c r="I619" s="8"/>
      <c r="J619" s="8"/>
      <c r="K619" s="8"/>
      <c r="P619" s="26"/>
    </row>
    <row r="620" spans="9:16" ht="12.5">
      <c r="I620" s="8"/>
      <c r="J620" s="8"/>
      <c r="K620" s="8"/>
      <c r="P620" s="26"/>
    </row>
    <row r="621" spans="9:16" ht="12.5">
      <c r="I621" s="8"/>
      <c r="J621" s="8"/>
      <c r="K621" s="8"/>
      <c r="P621" s="26"/>
    </row>
    <row r="622" spans="9:16" ht="12.5">
      <c r="I622" s="8"/>
      <c r="J622" s="8"/>
      <c r="K622" s="8"/>
      <c r="P622" s="26"/>
    </row>
    <row r="623" spans="9:16" ht="12.5">
      <c r="I623" s="8"/>
      <c r="J623" s="8"/>
      <c r="K623" s="8"/>
      <c r="P623" s="26"/>
    </row>
    <row r="624" spans="9:16" ht="12.5">
      <c r="I624" s="8"/>
      <c r="J624" s="8"/>
      <c r="K624" s="8"/>
      <c r="P624" s="26"/>
    </row>
    <row r="625" spans="9:16" ht="12.5">
      <c r="I625" s="8"/>
      <c r="J625" s="8"/>
      <c r="K625" s="8"/>
      <c r="P625" s="26"/>
    </row>
    <row r="626" spans="9:16" ht="12.5">
      <c r="I626" s="8"/>
      <c r="J626" s="8"/>
      <c r="K626" s="8"/>
      <c r="P626" s="26"/>
    </row>
    <row r="627" spans="9:16" ht="12.5">
      <c r="I627" s="8"/>
      <c r="J627" s="8"/>
      <c r="K627" s="8"/>
      <c r="P627" s="26"/>
    </row>
    <row r="628" spans="9:16" ht="12.5">
      <c r="I628" s="8"/>
      <c r="J628" s="8"/>
      <c r="K628" s="8"/>
      <c r="P628" s="26"/>
    </row>
    <row r="629" spans="9:16" ht="12.5">
      <c r="I629" s="8"/>
      <c r="J629" s="8"/>
      <c r="K629" s="8"/>
      <c r="P629" s="26"/>
    </row>
    <row r="630" spans="9:16" ht="12.5">
      <c r="I630" s="8"/>
      <c r="J630" s="8"/>
      <c r="K630" s="8"/>
      <c r="P630" s="26"/>
    </row>
    <row r="631" spans="9:16" ht="12.5">
      <c r="I631" s="8"/>
      <c r="J631" s="8"/>
      <c r="K631" s="8"/>
      <c r="P631" s="26"/>
    </row>
    <row r="632" spans="9:16" ht="12.5">
      <c r="I632" s="8"/>
      <c r="J632" s="8"/>
      <c r="K632" s="8"/>
      <c r="P632" s="26"/>
    </row>
    <row r="633" spans="9:16" ht="12.5">
      <c r="I633" s="8"/>
      <c r="J633" s="8"/>
      <c r="K633" s="8"/>
      <c r="P633" s="26"/>
    </row>
    <row r="634" spans="9:16" ht="12.5">
      <c r="I634" s="8"/>
      <c r="J634" s="8"/>
      <c r="K634" s="8"/>
      <c r="P634" s="26"/>
    </row>
    <row r="635" spans="9:16" ht="12.5">
      <c r="I635" s="8"/>
      <c r="J635" s="8"/>
      <c r="K635" s="8"/>
      <c r="P635" s="26"/>
    </row>
    <row r="636" spans="9:16" ht="12.5">
      <c r="I636" s="8"/>
      <c r="J636" s="8"/>
      <c r="K636" s="8"/>
      <c r="P636" s="26"/>
    </row>
    <row r="637" spans="9:16" ht="12.5">
      <c r="I637" s="8"/>
      <c r="J637" s="8"/>
      <c r="K637" s="8"/>
      <c r="P637" s="26"/>
    </row>
    <row r="638" spans="9:16" ht="12.5">
      <c r="I638" s="8"/>
      <c r="J638" s="8"/>
      <c r="K638" s="8"/>
      <c r="P638" s="26"/>
    </row>
    <row r="639" spans="9:16" ht="12.5">
      <c r="I639" s="8"/>
      <c r="J639" s="8"/>
      <c r="K639" s="8"/>
      <c r="P639" s="26"/>
    </row>
    <row r="640" spans="9:16" ht="12.5">
      <c r="I640" s="8"/>
      <c r="J640" s="8"/>
      <c r="K640" s="8"/>
      <c r="P640" s="26"/>
    </row>
    <row r="641" spans="9:16" ht="12.5">
      <c r="I641" s="8"/>
      <c r="J641" s="8"/>
      <c r="K641" s="8"/>
      <c r="P641" s="26"/>
    </row>
    <row r="642" spans="9:16" ht="12.5">
      <c r="I642" s="8"/>
      <c r="J642" s="8"/>
      <c r="K642" s="8"/>
      <c r="P642" s="26"/>
    </row>
    <row r="643" spans="9:16" ht="12.5">
      <c r="I643" s="8"/>
      <c r="J643" s="8"/>
      <c r="K643" s="8"/>
      <c r="P643" s="26"/>
    </row>
    <row r="644" spans="9:16" ht="12.5">
      <c r="I644" s="8"/>
      <c r="J644" s="8"/>
      <c r="K644" s="8"/>
      <c r="P644" s="26"/>
    </row>
    <row r="645" spans="9:16" ht="12.5">
      <c r="I645" s="8"/>
      <c r="J645" s="8"/>
      <c r="K645" s="8"/>
      <c r="P645" s="26"/>
    </row>
    <row r="646" spans="9:16" ht="12.5">
      <c r="I646" s="8"/>
      <c r="J646" s="8"/>
      <c r="K646" s="8"/>
      <c r="P646" s="26"/>
    </row>
    <row r="647" spans="9:16" ht="12.5">
      <c r="I647" s="8"/>
      <c r="J647" s="8"/>
      <c r="K647" s="8"/>
      <c r="P647" s="26"/>
    </row>
    <row r="648" spans="9:16" ht="12.5">
      <c r="I648" s="8"/>
      <c r="J648" s="8"/>
      <c r="K648" s="8"/>
      <c r="P648" s="26"/>
    </row>
    <row r="649" spans="9:16" ht="12.5">
      <c r="I649" s="8"/>
      <c r="J649" s="8"/>
      <c r="K649" s="8"/>
      <c r="P649" s="26"/>
    </row>
    <row r="650" spans="9:16" ht="12.5">
      <c r="I650" s="8"/>
      <c r="J650" s="8"/>
      <c r="K650" s="8"/>
      <c r="P650" s="26"/>
    </row>
    <row r="651" spans="9:16" ht="12.5">
      <c r="I651" s="8"/>
      <c r="J651" s="8"/>
      <c r="K651" s="8"/>
      <c r="P651" s="26"/>
    </row>
    <row r="652" spans="9:16" ht="12.5">
      <c r="I652" s="8"/>
      <c r="J652" s="8"/>
      <c r="K652" s="8"/>
      <c r="P652" s="26"/>
    </row>
    <row r="653" spans="9:16" ht="12.5">
      <c r="I653" s="8"/>
      <c r="J653" s="8"/>
      <c r="K653" s="8"/>
      <c r="P653" s="26"/>
    </row>
    <row r="654" spans="9:16" ht="12.5">
      <c r="I654" s="8"/>
      <c r="J654" s="8"/>
      <c r="K654" s="8"/>
      <c r="P654" s="26"/>
    </row>
    <row r="655" spans="9:16" ht="12.5">
      <c r="I655" s="8"/>
      <c r="J655" s="8"/>
      <c r="K655" s="8"/>
      <c r="P655" s="26"/>
    </row>
    <row r="656" spans="9:16" ht="12.5">
      <c r="I656" s="8"/>
      <c r="J656" s="8"/>
      <c r="K656" s="8"/>
      <c r="P656" s="26"/>
    </row>
    <row r="657" spans="9:16" ht="12.5">
      <c r="I657" s="8"/>
      <c r="J657" s="8"/>
      <c r="K657" s="8"/>
      <c r="P657" s="26"/>
    </row>
    <row r="658" spans="9:16" ht="12.5">
      <c r="I658" s="8"/>
      <c r="J658" s="8"/>
      <c r="K658" s="8"/>
      <c r="P658" s="26"/>
    </row>
    <row r="659" spans="9:16" ht="12.5">
      <c r="I659" s="8"/>
      <c r="J659" s="8"/>
      <c r="K659" s="8"/>
      <c r="P659" s="26"/>
    </row>
    <row r="660" spans="9:16" ht="12.5">
      <c r="I660" s="8"/>
      <c r="J660" s="8"/>
      <c r="K660" s="8"/>
      <c r="P660" s="26"/>
    </row>
    <row r="661" spans="9:16" ht="12.5">
      <c r="I661" s="8"/>
      <c r="J661" s="8"/>
      <c r="K661" s="8"/>
      <c r="P661" s="26"/>
    </row>
    <row r="662" spans="9:16" ht="12.5">
      <c r="I662" s="8"/>
      <c r="J662" s="8"/>
      <c r="K662" s="8"/>
      <c r="P662" s="26"/>
    </row>
    <row r="663" spans="9:16" ht="12.5">
      <c r="I663" s="8"/>
      <c r="J663" s="8"/>
      <c r="K663" s="8"/>
      <c r="P663" s="26"/>
    </row>
    <row r="664" spans="9:16" ht="12.5">
      <c r="I664" s="8"/>
      <c r="J664" s="8"/>
      <c r="K664" s="8"/>
      <c r="P664" s="26"/>
    </row>
    <row r="665" spans="9:16" ht="12.5">
      <c r="I665" s="8"/>
      <c r="J665" s="8"/>
      <c r="K665" s="8"/>
      <c r="P665" s="26"/>
    </row>
    <row r="666" spans="9:16" ht="12.5">
      <c r="I666" s="8"/>
      <c r="J666" s="8"/>
      <c r="K666" s="8"/>
      <c r="P666" s="26"/>
    </row>
    <row r="667" spans="9:16" ht="12.5">
      <c r="I667" s="8"/>
      <c r="J667" s="8"/>
      <c r="K667" s="8"/>
      <c r="P667" s="26"/>
    </row>
    <row r="668" spans="9:16" ht="12.5">
      <c r="I668" s="8"/>
      <c r="J668" s="8"/>
      <c r="K668" s="8"/>
      <c r="P668" s="26"/>
    </row>
    <row r="669" spans="9:16" ht="12.5">
      <c r="I669" s="8"/>
      <c r="J669" s="8"/>
      <c r="K669" s="8"/>
      <c r="P669" s="26"/>
    </row>
    <row r="670" spans="9:16" ht="12.5">
      <c r="I670" s="8"/>
      <c r="J670" s="8"/>
      <c r="K670" s="8"/>
      <c r="P670" s="26"/>
    </row>
    <row r="671" spans="9:16" ht="12.5">
      <c r="I671" s="8"/>
      <c r="J671" s="8"/>
      <c r="K671" s="8"/>
      <c r="P671" s="26"/>
    </row>
    <row r="672" spans="9:16" ht="12.5">
      <c r="I672" s="8"/>
      <c r="J672" s="8"/>
      <c r="K672" s="8"/>
      <c r="P672" s="26"/>
    </row>
    <row r="673" spans="9:16" ht="12.5">
      <c r="I673" s="8"/>
      <c r="J673" s="8"/>
      <c r="K673" s="8"/>
      <c r="P673" s="26"/>
    </row>
    <row r="674" spans="9:16" ht="12.5">
      <c r="I674" s="8"/>
      <c r="J674" s="8"/>
      <c r="K674" s="8"/>
      <c r="P674" s="26"/>
    </row>
    <row r="675" spans="9:16" ht="12.5">
      <c r="I675" s="8"/>
      <c r="J675" s="8"/>
      <c r="K675" s="8"/>
      <c r="P675" s="26"/>
    </row>
    <row r="676" spans="9:16" ht="12.5">
      <c r="I676" s="8"/>
      <c r="J676" s="8"/>
      <c r="K676" s="8"/>
      <c r="P676" s="26"/>
    </row>
    <row r="677" spans="9:16" ht="12.5">
      <c r="I677" s="8"/>
      <c r="J677" s="8"/>
      <c r="K677" s="8"/>
      <c r="P677" s="26"/>
    </row>
    <row r="678" spans="9:16" ht="12.5">
      <c r="I678" s="8"/>
      <c r="J678" s="8"/>
      <c r="K678" s="8"/>
      <c r="P678" s="26"/>
    </row>
    <row r="679" spans="9:16" ht="12.5">
      <c r="I679" s="8"/>
      <c r="J679" s="8"/>
      <c r="K679" s="8"/>
      <c r="P679" s="26"/>
    </row>
    <row r="680" spans="9:16" ht="12.5">
      <c r="I680" s="8"/>
      <c r="J680" s="8"/>
      <c r="K680" s="8"/>
      <c r="P680" s="26"/>
    </row>
    <row r="681" spans="9:16" ht="12.5">
      <c r="I681" s="8"/>
      <c r="J681" s="8"/>
      <c r="K681" s="8"/>
      <c r="P681" s="26"/>
    </row>
    <row r="682" spans="9:16" ht="12.5">
      <c r="I682" s="8"/>
      <c r="J682" s="8"/>
      <c r="K682" s="8"/>
      <c r="P682" s="26"/>
    </row>
    <row r="683" spans="9:16" ht="12.5">
      <c r="I683" s="8"/>
      <c r="J683" s="8"/>
      <c r="K683" s="8"/>
      <c r="P683" s="26"/>
    </row>
    <row r="684" spans="9:16" ht="12.5">
      <c r="I684" s="8"/>
      <c r="J684" s="8"/>
      <c r="K684" s="8"/>
      <c r="P684" s="26"/>
    </row>
    <row r="685" spans="9:16" ht="12.5">
      <c r="I685" s="8"/>
      <c r="J685" s="8"/>
      <c r="K685" s="8"/>
      <c r="P685" s="26"/>
    </row>
    <row r="686" spans="9:16" ht="12.5">
      <c r="I686" s="8"/>
      <c r="J686" s="8"/>
      <c r="K686" s="8"/>
      <c r="P686" s="26"/>
    </row>
    <row r="687" spans="9:16" ht="12.5">
      <c r="I687" s="8"/>
      <c r="J687" s="8"/>
      <c r="K687" s="8"/>
      <c r="P687" s="26"/>
    </row>
    <row r="688" spans="9:16" ht="12.5">
      <c r="I688" s="8"/>
      <c r="J688" s="8"/>
      <c r="K688" s="8"/>
      <c r="P688" s="26"/>
    </row>
    <row r="689" spans="9:16" ht="12.5">
      <c r="I689" s="8"/>
      <c r="J689" s="8"/>
      <c r="K689" s="8"/>
      <c r="P689" s="26"/>
    </row>
    <row r="690" spans="9:16" ht="12.5">
      <c r="I690" s="8"/>
      <c r="J690" s="8"/>
      <c r="K690" s="8"/>
      <c r="P690" s="26"/>
    </row>
    <row r="691" spans="9:16" ht="12.5">
      <c r="I691" s="8"/>
      <c r="J691" s="8"/>
      <c r="K691" s="8"/>
      <c r="P691" s="26"/>
    </row>
    <row r="692" spans="9:16" ht="12.5">
      <c r="I692" s="8"/>
      <c r="J692" s="8"/>
      <c r="K692" s="8"/>
      <c r="P692" s="26"/>
    </row>
    <row r="693" spans="9:16" ht="12.5">
      <c r="I693" s="8"/>
      <c r="J693" s="8"/>
      <c r="K693" s="8"/>
      <c r="P693" s="26"/>
    </row>
    <row r="694" spans="9:16" ht="12.5">
      <c r="I694" s="8"/>
      <c r="J694" s="8"/>
      <c r="K694" s="8"/>
      <c r="P694" s="26"/>
    </row>
    <row r="695" spans="9:16" ht="12.5">
      <c r="I695" s="8"/>
      <c r="J695" s="8"/>
      <c r="K695" s="8"/>
      <c r="P695" s="26"/>
    </row>
    <row r="696" spans="9:16" ht="12.5">
      <c r="I696" s="8"/>
      <c r="J696" s="8"/>
      <c r="K696" s="8"/>
      <c r="P696" s="26"/>
    </row>
    <row r="697" spans="9:16" ht="12.5">
      <c r="I697" s="8"/>
      <c r="J697" s="8"/>
      <c r="K697" s="8"/>
      <c r="P697" s="26"/>
    </row>
    <row r="698" spans="9:16" ht="12.5">
      <c r="I698" s="8"/>
      <c r="J698" s="8"/>
      <c r="K698" s="8"/>
      <c r="P698" s="26"/>
    </row>
    <row r="699" spans="9:16" ht="12.5">
      <c r="I699" s="8"/>
      <c r="J699" s="8"/>
      <c r="K699" s="8"/>
      <c r="P699" s="26"/>
    </row>
    <row r="700" spans="9:16" ht="12.5">
      <c r="I700" s="8"/>
      <c r="J700" s="8"/>
      <c r="K700" s="8"/>
      <c r="P700" s="26"/>
    </row>
    <row r="701" spans="9:16" ht="12.5">
      <c r="I701" s="8"/>
      <c r="J701" s="8"/>
      <c r="K701" s="8"/>
      <c r="P701" s="26"/>
    </row>
    <row r="702" spans="9:16" ht="12.5">
      <c r="I702" s="8"/>
      <c r="J702" s="8"/>
      <c r="K702" s="8"/>
      <c r="P702" s="26"/>
    </row>
    <row r="703" spans="9:16" ht="12.5">
      <c r="I703" s="8"/>
      <c r="J703" s="8"/>
      <c r="K703" s="8"/>
      <c r="P703" s="26"/>
    </row>
    <row r="704" spans="9:16" ht="12.5">
      <c r="I704" s="8"/>
      <c r="J704" s="8"/>
      <c r="K704" s="8"/>
      <c r="P704" s="26"/>
    </row>
    <row r="705" spans="9:16" ht="12.5">
      <c r="I705" s="8"/>
      <c r="J705" s="8"/>
      <c r="K705" s="8"/>
      <c r="P705" s="26"/>
    </row>
    <row r="706" spans="9:16" ht="12.5">
      <c r="I706" s="8"/>
      <c r="J706" s="8"/>
      <c r="K706" s="8"/>
      <c r="P706" s="26"/>
    </row>
    <row r="707" spans="9:16" ht="12.5">
      <c r="I707" s="8"/>
      <c r="J707" s="8"/>
      <c r="K707" s="8"/>
      <c r="P707" s="26"/>
    </row>
    <row r="708" spans="9:16" ht="12.5">
      <c r="I708" s="8"/>
      <c r="J708" s="8"/>
      <c r="K708" s="8"/>
      <c r="P708" s="26"/>
    </row>
    <row r="709" spans="9:16" ht="12.5">
      <c r="I709" s="8"/>
      <c r="J709" s="8"/>
      <c r="K709" s="8"/>
      <c r="P709" s="26"/>
    </row>
    <row r="710" spans="9:16" ht="12.5">
      <c r="I710" s="8"/>
      <c r="J710" s="8"/>
      <c r="K710" s="8"/>
      <c r="P710" s="26"/>
    </row>
    <row r="711" spans="9:16" ht="12.5">
      <c r="I711" s="8"/>
      <c r="J711" s="8"/>
      <c r="K711" s="8"/>
      <c r="P711" s="26"/>
    </row>
    <row r="712" spans="9:16" ht="12.5">
      <c r="I712" s="8"/>
      <c r="J712" s="8"/>
      <c r="K712" s="8"/>
      <c r="P712" s="26"/>
    </row>
    <row r="713" spans="9:16" ht="12.5">
      <c r="I713" s="8"/>
      <c r="J713" s="8"/>
      <c r="K713" s="8"/>
      <c r="P713" s="26"/>
    </row>
    <row r="714" spans="9:16" ht="12.5">
      <c r="I714" s="8"/>
      <c r="J714" s="8"/>
      <c r="K714" s="8"/>
      <c r="P714" s="26"/>
    </row>
    <row r="715" spans="9:16" ht="12.5">
      <c r="I715" s="8"/>
      <c r="J715" s="8"/>
      <c r="K715" s="8"/>
      <c r="P715" s="26"/>
    </row>
    <row r="716" spans="9:16" ht="12.5">
      <c r="I716" s="8"/>
      <c r="J716" s="8"/>
      <c r="K716" s="8"/>
      <c r="P716" s="26"/>
    </row>
    <row r="717" spans="9:16" ht="12.5">
      <c r="I717" s="8"/>
      <c r="J717" s="8"/>
      <c r="K717" s="8"/>
      <c r="P717" s="26"/>
    </row>
    <row r="718" spans="9:16" ht="12.5">
      <c r="I718" s="8"/>
      <c r="J718" s="8"/>
      <c r="K718" s="8"/>
      <c r="P718" s="26"/>
    </row>
    <row r="719" spans="9:16" ht="12.5">
      <c r="I719" s="8"/>
      <c r="J719" s="8"/>
      <c r="K719" s="8"/>
      <c r="P719" s="26"/>
    </row>
    <row r="720" spans="9:16" ht="12.5">
      <c r="I720" s="8"/>
      <c r="J720" s="8"/>
      <c r="K720" s="8"/>
      <c r="P720" s="26"/>
    </row>
    <row r="721" spans="9:16" ht="12.5">
      <c r="I721" s="8"/>
      <c r="J721" s="8"/>
      <c r="K721" s="8"/>
      <c r="P721" s="26"/>
    </row>
    <row r="722" spans="9:16" ht="12.5">
      <c r="I722" s="8"/>
      <c r="J722" s="8"/>
      <c r="K722" s="8"/>
      <c r="P722" s="26"/>
    </row>
    <row r="723" spans="9:16" ht="12.5">
      <c r="I723" s="8"/>
      <c r="J723" s="8"/>
      <c r="K723" s="8"/>
      <c r="P723" s="26"/>
    </row>
    <row r="724" spans="9:16" ht="12.5">
      <c r="I724" s="8"/>
      <c r="J724" s="8"/>
      <c r="K724" s="8"/>
      <c r="P724" s="26"/>
    </row>
    <row r="725" spans="9:16" ht="12.5">
      <c r="I725" s="8"/>
      <c r="J725" s="8"/>
      <c r="K725" s="8"/>
      <c r="P725" s="26"/>
    </row>
    <row r="726" spans="9:16" ht="12.5">
      <c r="I726" s="8"/>
      <c r="J726" s="8"/>
      <c r="K726" s="8"/>
      <c r="P726" s="26"/>
    </row>
    <row r="727" spans="9:16" ht="12.5">
      <c r="I727" s="8"/>
      <c r="J727" s="8"/>
      <c r="K727" s="8"/>
      <c r="P727" s="26"/>
    </row>
    <row r="728" spans="9:16" ht="12.5">
      <c r="I728" s="8"/>
      <c r="J728" s="8"/>
      <c r="K728" s="8"/>
      <c r="P728" s="26"/>
    </row>
    <row r="729" spans="9:16" ht="12.5">
      <c r="I729" s="8"/>
      <c r="J729" s="8"/>
      <c r="K729" s="8"/>
      <c r="P729" s="26"/>
    </row>
    <row r="730" spans="9:16" ht="12.5">
      <c r="I730" s="8"/>
      <c r="J730" s="8"/>
      <c r="K730" s="8"/>
      <c r="P730" s="26"/>
    </row>
    <row r="731" spans="9:16" ht="12.5">
      <c r="I731" s="8"/>
      <c r="J731" s="8"/>
      <c r="K731" s="8"/>
      <c r="P731" s="26"/>
    </row>
    <row r="732" spans="9:16" ht="12.5">
      <c r="I732" s="8"/>
      <c r="J732" s="8"/>
      <c r="K732" s="8"/>
      <c r="P732" s="26"/>
    </row>
    <row r="733" spans="9:16" ht="12.5">
      <c r="I733" s="8"/>
      <c r="J733" s="8"/>
      <c r="K733" s="8"/>
      <c r="P733" s="26"/>
    </row>
    <row r="734" spans="9:16" ht="12.5">
      <c r="I734" s="8"/>
      <c r="J734" s="8"/>
      <c r="K734" s="8"/>
      <c r="P734" s="26"/>
    </row>
    <row r="735" spans="9:16" ht="12.5">
      <c r="I735" s="8"/>
      <c r="J735" s="8"/>
      <c r="K735" s="8"/>
      <c r="P735" s="26"/>
    </row>
    <row r="736" spans="9:16" ht="12.5">
      <c r="I736" s="8"/>
      <c r="J736" s="8"/>
      <c r="K736" s="8"/>
      <c r="P736" s="26"/>
    </row>
    <row r="737" spans="9:16" ht="12.5">
      <c r="I737" s="8"/>
      <c r="J737" s="8"/>
      <c r="K737" s="8"/>
      <c r="P737" s="26"/>
    </row>
    <row r="738" spans="9:16" ht="12.5">
      <c r="I738" s="8"/>
      <c r="J738" s="8"/>
      <c r="K738" s="8"/>
      <c r="P738" s="26"/>
    </row>
    <row r="739" spans="9:16" ht="12.5">
      <c r="I739" s="8"/>
      <c r="J739" s="8"/>
      <c r="K739" s="8"/>
      <c r="P739" s="26"/>
    </row>
    <row r="740" spans="9:16" ht="12.5">
      <c r="I740" s="8"/>
      <c r="J740" s="8"/>
      <c r="K740" s="8"/>
      <c r="P740" s="26"/>
    </row>
    <row r="741" spans="9:16" ht="12.5">
      <c r="I741" s="8"/>
      <c r="J741" s="8"/>
      <c r="K741" s="8"/>
      <c r="P741" s="26"/>
    </row>
    <row r="742" spans="9:16" ht="12.5">
      <c r="I742" s="8"/>
      <c r="J742" s="8"/>
      <c r="K742" s="8"/>
      <c r="P742" s="26"/>
    </row>
    <row r="743" spans="9:16" ht="12.5">
      <c r="I743" s="8"/>
      <c r="J743" s="8"/>
      <c r="K743" s="8"/>
      <c r="P743" s="26"/>
    </row>
    <row r="744" spans="9:16" ht="12.5">
      <c r="I744" s="8"/>
      <c r="J744" s="8"/>
      <c r="K744" s="8"/>
      <c r="P744" s="26"/>
    </row>
    <row r="745" spans="9:16" ht="12.5">
      <c r="I745" s="8"/>
      <c r="J745" s="8"/>
      <c r="K745" s="8"/>
      <c r="P745" s="26"/>
    </row>
    <row r="746" spans="9:16" ht="12.5">
      <c r="I746" s="8"/>
      <c r="J746" s="8"/>
      <c r="K746" s="8"/>
      <c r="P746" s="26"/>
    </row>
    <row r="747" spans="9:16" ht="12.5">
      <c r="I747" s="8"/>
      <c r="J747" s="8"/>
      <c r="K747" s="8"/>
      <c r="P747" s="26"/>
    </row>
    <row r="748" spans="9:16" ht="12.5">
      <c r="I748" s="8"/>
      <c r="J748" s="8"/>
      <c r="K748" s="8"/>
      <c r="P748" s="26"/>
    </row>
    <row r="749" spans="9:16" ht="12.5">
      <c r="I749" s="8"/>
      <c r="J749" s="8"/>
      <c r="K749" s="8"/>
      <c r="P749" s="26"/>
    </row>
    <row r="750" spans="9:16" ht="12.5">
      <c r="I750" s="8"/>
      <c r="J750" s="8"/>
      <c r="K750" s="8"/>
      <c r="P750" s="26"/>
    </row>
    <row r="751" spans="9:16" ht="12.5">
      <c r="I751" s="8"/>
      <c r="J751" s="8"/>
      <c r="K751" s="8"/>
      <c r="P751" s="26"/>
    </row>
    <row r="752" spans="9:16" ht="12.5">
      <c r="I752" s="8"/>
      <c r="J752" s="8"/>
      <c r="K752" s="8"/>
      <c r="P752" s="26"/>
    </row>
    <row r="753" spans="9:16" ht="12.5">
      <c r="I753" s="8"/>
      <c r="J753" s="8"/>
      <c r="K753" s="8"/>
      <c r="P753" s="26"/>
    </row>
    <row r="754" spans="9:16" ht="12.5">
      <c r="I754" s="8"/>
      <c r="J754" s="8"/>
      <c r="K754" s="8"/>
      <c r="P754" s="26"/>
    </row>
    <row r="755" spans="9:16" ht="12.5">
      <c r="I755" s="8"/>
      <c r="J755" s="8"/>
      <c r="K755" s="8"/>
      <c r="P755" s="26"/>
    </row>
    <row r="756" spans="9:16" ht="12.5">
      <c r="I756" s="8"/>
      <c r="J756" s="8"/>
      <c r="K756" s="8"/>
      <c r="P756" s="26"/>
    </row>
    <row r="757" spans="9:16" ht="12.5">
      <c r="I757" s="8"/>
      <c r="J757" s="8"/>
      <c r="K757" s="8"/>
      <c r="P757" s="26"/>
    </row>
    <row r="758" spans="9:16" ht="12.5">
      <c r="I758" s="8"/>
      <c r="J758" s="8"/>
      <c r="K758" s="8"/>
      <c r="P758" s="26"/>
    </row>
    <row r="759" spans="9:16" ht="12.5">
      <c r="I759" s="8"/>
      <c r="J759" s="8"/>
      <c r="K759" s="8"/>
      <c r="P759" s="26"/>
    </row>
    <row r="760" spans="9:16" ht="12.5">
      <c r="I760" s="8"/>
      <c r="J760" s="8"/>
      <c r="K760" s="8"/>
      <c r="P760" s="26"/>
    </row>
    <row r="761" spans="9:16" ht="12.5">
      <c r="I761" s="8"/>
      <c r="J761" s="8"/>
      <c r="K761" s="8"/>
      <c r="P761" s="26"/>
    </row>
    <row r="762" spans="9:16" ht="12.5">
      <c r="I762" s="8"/>
      <c r="J762" s="8"/>
      <c r="K762" s="8"/>
      <c r="P762" s="26"/>
    </row>
    <row r="763" spans="9:16" ht="12.5">
      <c r="I763" s="8"/>
      <c r="J763" s="8"/>
      <c r="K763" s="8"/>
      <c r="P763" s="26"/>
    </row>
    <row r="764" spans="9:16" ht="12.5">
      <c r="I764" s="8"/>
      <c r="J764" s="8"/>
      <c r="K764" s="8"/>
      <c r="P764" s="26"/>
    </row>
    <row r="765" spans="9:16" ht="12.5">
      <c r="I765" s="8"/>
      <c r="J765" s="8"/>
      <c r="K765" s="8"/>
      <c r="P765" s="26"/>
    </row>
    <row r="766" spans="9:16" ht="12.5">
      <c r="I766" s="8"/>
      <c r="J766" s="8"/>
      <c r="K766" s="8"/>
      <c r="P766" s="26"/>
    </row>
    <row r="767" spans="9:16" ht="12.5">
      <c r="I767" s="8"/>
      <c r="J767" s="8"/>
      <c r="K767" s="8"/>
      <c r="P767" s="26"/>
    </row>
    <row r="768" spans="9:16" ht="12.5">
      <c r="I768" s="8"/>
      <c r="J768" s="8"/>
      <c r="K768" s="8"/>
      <c r="P768" s="26"/>
    </row>
    <row r="769" spans="9:16" ht="12.5">
      <c r="I769" s="8"/>
      <c r="J769" s="8"/>
      <c r="K769" s="8"/>
      <c r="P769" s="26"/>
    </row>
    <row r="770" spans="9:16" ht="12.5">
      <c r="I770" s="8"/>
      <c r="J770" s="8"/>
      <c r="K770" s="8"/>
      <c r="P770" s="26"/>
    </row>
    <row r="771" spans="9:16" ht="12.5">
      <c r="I771" s="8"/>
      <c r="J771" s="8"/>
      <c r="K771" s="8"/>
      <c r="P771" s="26"/>
    </row>
    <row r="772" spans="9:16" ht="12.5">
      <c r="I772" s="8"/>
      <c r="J772" s="8"/>
      <c r="K772" s="8"/>
      <c r="P772" s="26"/>
    </row>
    <row r="773" spans="9:16" ht="12.5">
      <c r="I773" s="8"/>
      <c r="J773" s="8"/>
      <c r="K773" s="8"/>
      <c r="P773" s="26"/>
    </row>
    <row r="774" spans="9:16" ht="12.5">
      <c r="I774" s="8"/>
      <c r="J774" s="8"/>
      <c r="K774" s="8"/>
      <c r="P774" s="26"/>
    </row>
    <row r="775" spans="9:16" ht="12.5">
      <c r="I775" s="8"/>
      <c r="J775" s="8"/>
      <c r="K775" s="8"/>
      <c r="P775" s="26"/>
    </row>
    <row r="776" spans="9:16" ht="12.5">
      <c r="I776" s="8"/>
      <c r="J776" s="8"/>
      <c r="K776" s="8"/>
      <c r="P776" s="26"/>
    </row>
    <row r="777" spans="9:16" ht="12.5">
      <c r="I777" s="8"/>
      <c r="J777" s="8"/>
      <c r="K777" s="8"/>
      <c r="P777" s="26"/>
    </row>
    <row r="778" spans="9:16" ht="12.5">
      <c r="I778" s="8"/>
      <c r="J778" s="8"/>
      <c r="K778" s="8"/>
      <c r="P778" s="26"/>
    </row>
    <row r="779" spans="9:16" ht="12.5">
      <c r="I779" s="8"/>
      <c r="J779" s="8"/>
      <c r="K779" s="8"/>
      <c r="P779" s="26"/>
    </row>
    <row r="780" spans="9:16" ht="12.5">
      <c r="I780" s="8"/>
      <c r="J780" s="8"/>
      <c r="K780" s="8"/>
      <c r="P780" s="26"/>
    </row>
    <row r="781" spans="9:16" ht="12.5">
      <c r="I781" s="8"/>
      <c r="J781" s="8"/>
      <c r="K781" s="8"/>
      <c r="P781" s="26"/>
    </row>
    <row r="782" spans="9:16" ht="12.5">
      <c r="I782" s="8"/>
      <c r="J782" s="8"/>
      <c r="K782" s="8"/>
      <c r="P782" s="26"/>
    </row>
    <row r="783" spans="9:16" ht="12.5">
      <c r="I783" s="8"/>
      <c r="J783" s="8"/>
      <c r="K783" s="8"/>
      <c r="P783" s="26"/>
    </row>
    <row r="784" spans="9:16" ht="12.5">
      <c r="I784" s="8"/>
      <c r="J784" s="8"/>
      <c r="K784" s="8"/>
      <c r="P784" s="26"/>
    </row>
    <row r="785" spans="9:16" ht="12.5">
      <c r="I785" s="8"/>
      <c r="J785" s="8"/>
      <c r="K785" s="8"/>
      <c r="P785" s="26"/>
    </row>
    <row r="786" spans="9:16" ht="12.5">
      <c r="I786" s="8"/>
      <c r="J786" s="8"/>
      <c r="K786" s="8"/>
      <c r="P786" s="26"/>
    </row>
    <row r="787" spans="9:16" ht="12.5">
      <c r="I787" s="8"/>
      <c r="J787" s="8"/>
      <c r="K787" s="8"/>
      <c r="P787" s="26"/>
    </row>
    <row r="788" spans="9:16" ht="12.5">
      <c r="I788" s="8"/>
      <c r="J788" s="8"/>
      <c r="K788" s="8"/>
      <c r="P788" s="26"/>
    </row>
    <row r="789" spans="9:16" ht="12.5">
      <c r="I789" s="8"/>
      <c r="J789" s="8"/>
      <c r="K789" s="8"/>
      <c r="P789" s="26"/>
    </row>
    <row r="790" spans="9:16" ht="12.5">
      <c r="I790" s="8"/>
      <c r="J790" s="8"/>
      <c r="K790" s="8"/>
      <c r="P790" s="26"/>
    </row>
    <row r="791" spans="9:16" ht="12.5">
      <c r="I791" s="8"/>
      <c r="J791" s="8"/>
      <c r="K791" s="8"/>
      <c r="P791" s="26"/>
    </row>
    <row r="792" spans="9:16" ht="12.5">
      <c r="I792" s="8"/>
      <c r="J792" s="8"/>
      <c r="K792" s="8"/>
      <c r="P792" s="26"/>
    </row>
    <row r="793" spans="9:16" ht="12.5">
      <c r="I793" s="8"/>
      <c r="J793" s="8"/>
      <c r="K793" s="8"/>
      <c r="P793" s="26"/>
    </row>
    <row r="794" spans="9:16" ht="12.5">
      <c r="I794" s="8"/>
      <c r="J794" s="8"/>
      <c r="K794" s="8"/>
      <c r="P794" s="26"/>
    </row>
    <row r="795" spans="9:16" ht="12.5">
      <c r="I795" s="8"/>
      <c r="J795" s="8"/>
      <c r="K795" s="8"/>
      <c r="P795" s="26"/>
    </row>
    <row r="796" spans="9:16" ht="12.5">
      <c r="I796" s="8"/>
      <c r="J796" s="8"/>
      <c r="K796" s="8"/>
      <c r="P796" s="26"/>
    </row>
    <row r="797" spans="9:16" ht="12.5">
      <c r="I797" s="8"/>
      <c r="J797" s="8"/>
      <c r="K797" s="8"/>
      <c r="P797" s="26"/>
    </row>
    <row r="798" spans="9:16" ht="12.5">
      <c r="I798" s="8"/>
      <c r="J798" s="8"/>
      <c r="K798" s="8"/>
      <c r="P798" s="26"/>
    </row>
    <row r="799" spans="9:16" ht="12.5">
      <c r="I799" s="8"/>
      <c r="J799" s="8"/>
      <c r="K799" s="8"/>
      <c r="P799" s="26"/>
    </row>
    <row r="800" spans="9:16" ht="12.5">
      <c r="I800" s="8"/>
      <c r="J800" s="8"/>
      <c r="K800" s="8"/>
      <c r="P800" s="26"/>
    </row>
    <row r="801" spans="9:16" ht="12.5">
      <c r="I801" s="8"/>
      <c r="J801" s="8"/>
      <c r="K801" s="8"/>
      <c r="P801" s="26"/>
    </row>
    <row r="802" spans="9:16" ht="12.5">
      <c r="I802" s="8"/>
      <c r="J802" s="8"/>
      <c r="K802" s="8"/>
      <c r="P802" s="26"/>
    </row>
    <row r="803" spans="9:16" ht="12.5">
      <c r="I803" s="8"/>
      <c r="J803" s="8"/>
      <c r="K803" s="8"/>
      <c r="P803" s="26"/>
    </row>
    <row r="804" spans="9:16" ht="12.5">
      <c r="I804" s="8"/>
      <c r="J804" s="8"/>
      <c r="K804" s="8"/>
      <c r="P804" s="26"/>
    </row>
    <row r="805" spans="9:16" ht="12.5">
      <c r="I805" s="8"/>
      <c r="J805" s="8"/>
      <c r="K805" s="8"/>
      <c r="P805" s="26"/>
    </row>
    <row r="806" spans="9:16" ht="12.5">
      <c r="I806" s="8"/>
      <c r="J806" s="8"/>
      <c r="K806" s="8"/>
      <c r="P806" s="26"/>
    </row>
    <row r="807" spans="9:16" ht="12.5">
      <c r="I807" s="8"/>
      <c r="J807" s="8"/>
      <c r="K807" s="8"/>
      <c r="P807" s="26"/>
    </row>
    <row r="808" spans="9:16" ht="12.5">
      <c r="I808" s="8"/>
      <c r="J808" s="8"/>
      <c r="K808" s="8"/>
      <c r="P808" s="26"/>
    </row>
    <row r="809" spans="9:16" ht="12.5">
      <c r="I809" s="8"/>
      <c r="J809" s="8"/>
      <c r="K809" s="8"/>
      <c r="P809" s="26"/>
    </row>
    <row r="810" spans="9:16" ht="12.5">
      <c r="I810" s="8"/>
      <c r="J810" s="8"/>
      <c r="K810" s="8"/>
      <c r="P810" s="26"/>
    </row>
    <row r="811" spans="9:16" ht="12.5">
      <c r="I811" s="8"/>
      <c r="J811" s="8"/>
      <c r="K811" s="8"/>
      <c r="P811" s="26"/>
    </row>
    <row r="812" spans="9:16" ht="12.5">
      <c r="I812" s="8"/>
      <c r="J812" s="8"/>
      <c r="K812" s="8"/>
      <c r="P812" s="26"/>
    </row>
    <row r="813" spans="9:16" ht="12.5">
      <c r="I813" s="8"/>
      <c r="J813" s="8"/>
      <c r="K813" s="8"/>
      <c r="P813" s="26"/>
    </row>
    <row r="814" spans="9:16" ht="12.5">
      <c r="I814" s="8"/>
      <c r="J814" s="8"/>
      <c r="K814" s="8"/>
      <c r="P814" s="26"/>
    </row>
    <row r="815" spans="9:16" ht="12.5">
      <c r="I815" s="8"/>
      <c r="J815" s="8"/>
      <c r="K815" s="8"/>
      <c r="P815" s="26"/>
    </row>
    <row r="816" spans="9:16" ht="12.5">
      <c r="I816" s="8"/>
      <c r="J816" s="8"/>
      <c r="K816" s="8"/>
      <c r="P816" s="26"/>
    </row>
    <row r="817" spans="9:16" ht="12.5">
      <c r="I817" s="8"/>
      <c r="J817" s="8"/>
      <c r="K817" s="8"/>
      <c r="P817" s="26"/>
    </row>
    <row r="818" spans="9:16" ht="12.5">
      <c r="I818" s="8"/>
      <c r="J818" s="8"/>
      <c r="K818" s="8"/>
      <c r="P818" s="26"/>
    </row>
    <row r="819" spans="9:16" ht="12.5">
      <c r="I819" s="8"/>
      <c r="J819" s="8"/>
      <c r="K819" s="8"/>
      <c r="P819" s="26"/>
    </row>
    <row r="820" spans="9:16" ht="12.5">
      <c r="I820" s="8"/>
      <c r="J820" s="8"/>
      <c r="K820" s="8"/>
      <c r="P820" s="26"/>
    </row>
    <row r="821" spans="9:16" ht="12.5">
      <c r="I821" s="8"/>
      <c r="J821" s="8"/>
      <c r="K821" s="8"/>
      <c r="P821" s="26"/>
    </row>
    <row r="822" spans="9:16" ht="12.5">
      <c r="I822" s="8"/>
      <c r="J822" s="8"/>
      <c r="K822" s="8"/>
      <c r="P822" s="26"/>
    </row>
    <row r="823" spans="9:16" ht="12.5">
      <c r="I823" s="8"/>
      <c r="J823" s="8"/>
      <c r="K823" s="8"/>
      <c r="P823" s="26"/>
    </row>
    <row r="824" spans="9:16" ht="12.5">
      <c r="I824" s="8"/>
      <c r="J824" s="8"/>
      <c r="K824" s="8"/>
      <c r="P824" s="26"/>
    </row>
    <row r="825" spans="9:16" ht="12.5">
      <c r="I825" s="8"/>
      <c r="J825" s="8"/>
      <c r="K825" s="8"/>
      <c r="P825" s="26"/>
    </row>
    <row r="826" spans="9:16" ht="12.5">
      <c r="I826" s="8"/>
      <c r="J826" s="8"/>
      <c r="K826" s="8"/>
      <c r="P826" s="26"/>
    </row>
    <row r="827" spans="9:16" ht="12.5">
      <c r="I827" s="8"/>
      <c r="J827" s="8"/>
      <c r="K827" s="8"/>
      <c r="P827" s="26"/>
    </row>
    <row r="828" spans="9:16" ht="12.5">
      <c r="I828" s="8"/>
      <c r="J828" s="8"/>
      <c r="K828" s="8"/>
      <c r="P828" s="26"/>
    </row>
    <row r="829" spans="9:16" ht="12.5">
      <c r="I829" s="8"/>
      <c r="J829" s="8"/>
      <c r="K829" s="8"/>
      <c r="P829" s="26"/>
    </row>
    <row r="830" spans="9:16" ht="12.5">
      <c r="I830" s="8"/>
      <c r="J830" s="8"/>
      <c r="K830" s="8"/>
      <c r="P830" s="26"/>
    </row>
    <row r="831" spans="9:16" ht="12.5">
      <c r="I831" s="8"/>
      <c r="J831" s="8"/>
      <c r="K831" s="8"/>
      <c r="P831" s="26"/>
    </row>
    <row r="832" spans="9:16" ht="12.5">
      <c r="I832" s="8"/>
      <c r="J832" s="8"/>
      <c r="K832" s="8"/>
      <c r="P832" s="26"/>
    </row>
    <row r="833" spans="9:16" ht="12.5">
      <c r="I833" s="8"/>
      <c r="J833" s="8"/>
      <c r="K833" s="8"/>
      <c r="P833" s="26"/>
    </row>
    <row r="834" spans="9:16" ht="12.5">
      <c r="I834" s="8"/>
      <c r="J834" s="8"/>
      <c r="K834" s="8"/>
      <c r="P834" s="26"/>
    </row>
    <row r="835" spans="9:16" ht="12.5">
      <c r="I835" s="8"/>
      <c r="J835" s="8"/>
      <c r="K835" s="8"/>
      <c r="P835" s="26"/>
    </row>
    <row r="836" spans="9:16" ht="12.5">
      <c r="I836" s="8"/>
      <c r="J836" s="8"/>
      <c r="K836" s="8"/>
      <c r="P836" s="26"/>
    </row>
    <row r="837" spans="9:16" ht="12.5">
      <c r="I837" s="8"/>
      <c r="J837" s="8"/>
      <c r="K837" s="8"/>
      <c r="P837" s="26"/>
    </row>
    <row r="838" spans="9:16" ht="12.5">
      <c r="I838" s="8"/>
      <c r="J838" s="8"/>
      <c r="K838" s="8"/>
      <c r="P838" s="26"/>
    </row>
    <row r="839" spans="9:16" ht="12.5">
      <c r="I839" s="8"/>
      <c r="J839" s="8"/>
      <c r="K839" s="8"/>
      <c r="P839" s="26"/>
    </row>
    <row r="840" spans="9:16" ht="12.5">
      <c r="I840" s="8"/>
      <c r="J840" s="8"/>
      <c r="K840" s="8"/>
      <c r="P840" s="26"/>
    </row>
    <row r="841" spans="9:16" ht="12.5">
      <c r="I841" s="8"/>
      <c r="J841" s="8"/>
      <c r="K841" s="8"/>
      <c r="P841" s="26"/>
    </row>
    <row r="842" spans="9:16" ht="12.5">
      <c r="I842" s="8"/>
      <c r="J842" s="8"/>
      <c r="K842" s="8"/>
      <c r="P842" s="26"/>
    </row>
    <row r="843" spans="9:16" ht="12.5">
      <c r="I843" s="8"/>
      <c r="J843" s="8"/>
      <c r="K843" s="8"/>
      <c r="P843" s="26"/>
    </row>
    <row r="844" spans="9:16" ht="12.5">
      <c r="I844" s="8"/>
      <c r="J844" s="8"/>
      <c r="K844" s="8"/>
      <c r="P844" s="26"/>
    </row>
    <row r="845" spans="9:16" ht="12.5">
      <c r="I845" s="8"/>
      <c r="J845" s="8"/>
      <c r="K845" s="8"/>
      <c r="P845" s="26"/>
    </row>
    <row r="846" spans="9:16" ht="12.5">
      <c r="I846" s="8"/>
      <c r="J846" s="8"/>
      <c r="K846" s="8"/>
      <c r="P846" s="26"/>
    </row>
    <row r="847" spans="9:16" ht="12.5">
      <c r="I847" s="8"/>
      <c r="J847" s="8"/>
      <c r="K847" s="8"/>
      <c r="P847" s="26"/>
    </row>
    <row r="848" spans="9:16" ht="12.5">
      <c r="I848" s="8"/>
      <c r="J848" s="8"/>
      <c r="K848" s="8"/>
      <c r="P848" s="26"/>
    </row>
    <row r="849" spans="9:16" ht="12.5">
      <c r="I849" s="8"/>
      <c r="J849" s="8"/>
      <c r="K849" s="8"/>
      <c r="P849" s="26"/>
    </row>
    <row r="850" spans="9:16" ht="12.5">
      <c r="I850" s="8"/>
      <c r="J850" s="8"/>
      <c r="K850" s="8"/>
      <c r="P850" s="26"/>
    </row>
    <row r="851" spans="9:16" ht="12.5">
      <c r="I851" s="8"/>
      <c r="J851" s="8"/>
      <c r="K851" s="8"/>
      <c r="P851" s="26"/>
    </row>
    <row r="852" spans="9:16" ht="12.5">
      <c r="I852" s="8"/>
      <c r="J852" s="8"/>
      <c r="K852" s="8"/>
      <c r="P852" s="26"/>
    </row>
    <row r="853" spans="9:16" ht="12.5">
      <c r="I853" s="8"/>
      <c r="J853" s="8"/>
      <c r="K853" s="8"/>
      <c r="P853" s="26"/>
    </row>
    <row r="854" spans="9:16" ht="12.5">
      <c r="I854" s="8"/>
      <c r="J854" s="8"/>
      <c r="K854" s="8"/>
      <c r="P854" s="26"/>
    </row>
    <row r="855" spans="9:16" ht="12.5">
      <c r="I855" s="8"/>
      <c r="J855" s="8"/>
      <c r="K855" s="8"/>
      <c r="P855" s="26"/>
    </row>
    <row r="856" spans="9:16" ht="12.5">
      <c r="I856" s="8"/>
      <c r="J856" s="8"/>
      <c r="K856" s="8"/>
      <c r="P856" s="26"/>
    </row>
    <row r="857" spans="9:16" ht="12.5">
      <c r="I857" s="8"/>
      <c r="J857" s="8"/>
      <c r="K857" s="8"/>
      <c r="P857" s="26"/>
    </row>
    <row r="858" spans="9:16" ht="12.5">
      <c r="I858" s="8"/>
      <c r="J858" s="8"/>
      <c r="K858" s="8"/>
      <c r="P858" s="26"/>
    </row>
    <row r="859" spans="9:16" ht="12.5">
      <c r="I859" s="8"/>
      <c r="J859" s="8"/>
      <c r="K859" s="8"/>
      <c r="P859" s="26"/>
    </row>
    <row r="860" spans="9:16" ht="12.5">
      <c r="I860" s="8"/>
      <c r="J860" s="8"/>
      <c r="K860" s="8"/>
      <c r="P860" s="26"/>
    </row>
    <row r="861" spans="9:16" ht="12.5">
      <c r="I861" s="8"/>
      <c r="J861" s="8"/>
      <c r="K861" s="8"/>
      <c r="P861" s="26"/>
    </row>
    <row r="862" spans="9:16" ht="12.5">
      <c r="I862" s="8"/>
      <c r="J862" s="8"/>
      <c r="K862" s="8"/>
      <c r="P862" s="26"/>
    </row>
    <row r="863" spans="9:16" ht="12.5">
      <c r="I863" s="8"/>
      <c r="J863" s="8"/>
      <c r="K863" s="8"/>
      <c r="P863" s="26"/>
    </row>
    <row r="864" spans="9:16" ht="12.5">
      <c r="I864" s="8"/>
      <c r="J864" s="8"/>
      <c r="K864" s="8"/>
      <c r="P864" s="26"/>
    </row>
    <row r="865" spans="9:16" ht="12.5">
      <c r="I865" s="8"/>
      <c r="J865" s="8"/>
      <c r="K865" s="8"/>
      <c r="P865" s="26"/>
    </row>
    <row r="866" spans="9:16" ht="12.5">
      <c r="I866" s="8"/>
      <c r="J866" s="8"/>
      <c r="K866" s="8"/>
      <c r="P866" s="26"/>
    </row>
    <row r="867" spans="9:16" ht="12.5">
      <c r="I867" s="8"/>
      <c r="J867" s="8"/>
      <c r="K867" s="8"/>
      <c r="P867" s="26"/>
    </row>
    <row r="868" spans="9:16" ht="12.5">
      <c r="I868" s="8"/>
      <c r="J868" s="8"/>
      <c r="K868" s="8"/>
      <c r="P868" s="26"/>
    </row>
    <row r="869" spans="9:16" ht="12.5">
      <c r="I869" s="8"/>
      <c r="J869" s="8"/>
      <c r="K869" s="8"/>
      <c r="P869" s="26"/>
    </row>
    <row r="870" spans="9:16" ht="12.5">
      <c r="I870" s="8"/>
      <c r="J870" s="8"/>
      <c r="K870" s="8"/>
      <c r="P870" s="26"/>
    </row>
    <row r="871" spans="9:16" ht="12.5">
      <c r="I871" s="8"/>
      <c r="J871" s="8"/>
      <c r="K871" s="8"/>
      <c r="P871" s="26"/>
    </row>
    <row r="872" spans="9:16" ht="12.5">
      <c r="I872" s="8"/>
      <c r="J872" s="8"/>
      <c r="K872" s="8"/>
      <c r="P872" s="26"/>
    </row>
    <row r="873" spans="9:16" ht="12.5">
      <c r="I873" s="8"/>
      <c r="J873" s="8"/>
      <c r="K873" s="8"/>
      <c r="P873" s="26"/>
    </row>
    <row r="874" spans="9:16" ht="12.5">
      <c r="I874" s="8"/>
      <c r="J874" s="8"/>
      <c r="K874" s="8"/>
      <c r="P874" s="26"/>
    </row>
    <row r="875" spans="9:16" ht="12.5">
      <c r="I875" s="8"/>
      <c r="J875" s="8"/>
      <c r="K875" s="8"/>
      <c r="P875" s="26"/>
    </row>
    <row r="876" spans="9:16" ht="12.5">
      <c r="I876" s="8"/>
      <c r="J876" s="8"/>
      <c r="K876" s="8"/>
      <c r="P876" s="26"/>
    </row>
    <row r="877" spans="9:16" ht="12.5">
      <c r="I877" s="8"/>
      <c r="J877" s="8"/>
      <c r="K877" s="8"/>
      <c r="P877" s="26"/>
    </row>
    <row r="878" spans="9:16" ht="12.5">
      <c r="I878" s="8"/>
      <c r="J878" s="8"/>
      <c r="K878" s="8"/>
      <c r="P878" s="26"/>
    </row>
    <row r="879" spans="9:16" ht="12.5">
      <c r="I879" s="8"/>
      <c r="J879" s="8"/>
      <c r="K879" s="8"/>
      <c r="P879" s="26"/>
    </row>
    <row r="880" spans="9:16" ht="12.5">
      <c r="I880" s="8"/>
      <c r="J880" s="8"/>
      <c r="K880" s="8"/>
      <c r="P880" s="26"/>
    </row>
    <row r="881" spans="9:16" ht="12.5">
      <c r="I881" s="8"/>
      <c r="J881" s="8"/>
      <c r="K881" s="8"/>
      <c r="P881" s="26"/>
    </row>
    <row r="882" spans="9:16" ht="12.5">
      <c r="I882" s="8"/>
      <c r="J882" s="8"/>
      <c r="K882" s="8"/>
      <c r="P882" s="26"/>
    </row>
    <row r="883" spans="9:16" ht="12.5">
      <c r="I883" s="8"/>
      <c r="J883" s="8"/>
      <c r="K883" s="8"/>
      <c r="P883" s="26"/>
    </row>
    <row r="884" spans="9:16" ht="12.5">
      <c r="I884" s="8"/>
      <c r="J884" s="8"/>
      <c r="K884" s="8"/>
      <c r="P884" s="26"/>
    </row>
    <row r="885" spans="9:16" ht="12.5">
      <c r="I885" s="8"/>
      <c r="J885" s="8"/>
      <c r="K885" s="8"/>
      <c r="P885" s="26"/>
    </row>
    <row r="886" spans="9:16" ht="12.5">
      <c r="I886" s="8"/>
      <c r="J886" s="8"/>
      <c r="K886" s="8"/>
      <c r="P886" s="26"/>
    </row>
    <row r="887" spans="9:16" ht="12.5">
      <c r="I887" s="8"/>
      <c r="J887" s="8"/>
      <c r="K887" s="8"/>
      <c r="P887" s="26"/>
    </row>
    <row r="888" spans="9:16" ht="12.5">
      <c r="I888" s="8"/>
      <c r="J888" s="8"/>
      <c r="K888" s="8"/>
      <c r="P888" s="26"/>
    </row>
    <row r="889" spans="9:16" ht="12.5">
      <c r="I889" s="8"/>
      <c r="J889" s="8"/>
      <c r="K889" s="8"/>
      <c r="P889" s="26"/>
    </row>
    <row r="890" spans="9:16" ht="12.5">
      <c r="I890" s="8"/>
      <c r="J890" s="8"/>
      <c r="K890" s="8"/>
      <c r="P890" s="26"/>
    </row>
    <row r="891" spans="9:16" ht="12.5">
      <c r="I891" s="8"/>
      <c r="J891" s="8"/>
      <c r="K891" s="8"/>
      <c r="P891" s="26"/>
    </row>
    <row r="892" spans="9:16" ht="12.5">
      <c r="I892" s="8"/>
      <c r="J892" s="8"/>
      <c r="K892" s="8"/>
      <c r="P892" s="26"/>
    </row>
    <row r="893" spans="9:16" ht="12.5">
      <c r="I893" s="8"/>
      <c r="J893" s="8"/>
      <c r="K893" s="8"/>
      <c r="P893" s="26"/>
    </row>
    <row r="894" spans="9:16" ht="12.5">
      <c r="I894" s="8"/>
      <c r="J894" s="8"/>
      <c r="K894" s="8"/>
      <c r="P894" s="26"/>
    </row>
    <row r="895" spans="9:16" ht="12.5">
      <c r="I895" s="8"/>
      <c r="J895" s="8"/>
      <c r="K895" s="8"/>
      <c r="P895" s="26"/>
    </row>
    <row r="896" spans="9:16" ht="12.5">
      <c r="I896" s="8"/>
      <c r="J896" s="8"/>
      <c r="K896" s="8"/>
      <c r="P896" s="26"/>
    </row>
    <row r="897" spans="9:16" ht="12.5">
      <c r="I897" s="8"/>
      <c r="J897" s="8"/>
      <c r="K897" s="8"/>
      <c r="P897" s="26"/>
    </row>
    <row r="898" spans="9:16" ht="12.5">
      <c r="I898" s="8"/>
      <c r="J898" s="8"/>
      <c r="K898" s="8"/>
      <c r="P898" s="26"/>
    </row>
    <row r="899" spans="9:16" ht="12.5">
      <c r="I899" s="8"/>
      <c r="J899" s="8"/>
      <c r="K899" s="8"/>
      <c r="P899" s="26"/>
    </row>
    <row r="900" spans="9:16" ht="12.5">
      <c r="I900" s="8"/>
      <c r="J900" s="8"/>
      <c r="K900" s="8"/>
      <c r="P900" s="26"/>
    </row>
    <row r="901" spans="9:16" ht="12.5">
      <c r="I901" s="8"/>
      <c r="J901" s="8"/>
      <c r="K901" s="8"/>
      <c r="P901" s="26"/>
    </row>
    <row r="902" spans="9:16" ht="12.5">
      <c r="I902" s="8"/>
      <c r="J902" s="8"/>
      <c r="K902" s="8"/>
      <c r="P902" s="26"/>
    </row>
    <row r="903" spans="9:16" ht="12.5">
      <c r="I903" s="8"/>
      <c r="J903" s="8"/>
      <c r="K903" s="8"/>
      <c r="P903" s="26"/>
    </row>
    <row r="904" spans="9:16" ht="12.5">
      <c r="I904" s="8"/>
      <c r="J904" s="8"/>
      <c r="K904" s="8"/>
      <c r="P904" s="26"/>
    </row>
    <row r="905" spans="9:16" ht="12.5">
      <c r="I905" s="8"/>
      <c r="J905" s="8"/>
      <c r="K905" s="8"/>
      <c r="P905" s="26"/>
    </row>
    <row r="906" spans="9:16" ht="12.5">
      <c r="I906" s="8"/>
      <c r="J906" s="8"/>
      <c r="K906" s="8"/>
      <c r="P906" s="26"/>
    </row>
    <row r="907" spans="9:16" ht="12.5">
      <c r="I907" s="8"/>
      <c r="J907" s="8"/>
      <c r="K907" s="8"/>
      <c r="P907" s="26"/>
    </row>
    <row r="908" spans="9:16" ht="12.5">
      <c r="I908" s="8"/>
      <c r="J908" s="8"/>
      <c r="K908" s="8"/>
      <c r="P908" s="26"/>
    </row>
    <row r="909" spans="9:16" ht="12.5">
      <c r="I909" s="8"/>
      <c r="J909" s="8"/>
      <c r="K909" s="8"/>
      <c r="P909" s="26"/>
    </row>
    <row r="910" spans="9:16" ht="12.5">
      <c r="I910" s="8"/>
      <c r="J910" s="8"/>
      <c r="K910" s="8"/>
      <c r="P910" s="26"/>
    </row>
    <row r="911" spans="9:16" ht="12.5">
      <c r="I911" s="8"/>
      <c r="J911" s="8"/>
      <c r="K911" s="8"/>
      <c r="P911" s="26"/>
    </row>
    <row r="912" spans="9:16" ht="12.5">
      <c r="I912" s="8"/>
      <c r="J912" s="8"/>
      <c r="K912" s="8"/>
      <c r="P912" s="26"/>
    </row>
    <row r="913" spans="9:16" ht="12.5">
      <c r="I913" s="8"/>
      <c r="J913" s="8"/>
      <c r="K913" s="8"/>
      <c r="P913" s="26"/>
    </row>
    <row r="914" spans="9:16" ht="12.5">
      <c r="I914" s="8"/>
      <c r="J914" s="8"/>
      <c r="K914" s="8"/>
      <c r="P914" s="26"/>
    </row>
    <row r="915" spans="9:16" ht="12.5">
      <c r="I915" s="8"/>
      <c r="J915" s="8"/>
      <c r="K915" s="8"/>
      <c r="P915" s="26"/>
    </row>
    <row r="916" spans="9:16" ht="12.5">
      <c r="I916" s="8"/>
      <c r="J916" s="8"/>
      <c r="K916" s="8"/>
      <c r="P916" s="26"/>
    </row>
    <row r="917" spans="9:16" ht="12.5">
      <c r="I917" s="8"/>
      <c r="J917" s="8"/>
      <c r="K917" s="8"/>
      <c r="P917" s="26"/>
    </row>
    <row r="918" spans="9:16" ht="12.5">
      <c r="I918" s="8"/>
      <c r="J918" s="8"/>
      <c r="K918" s="8"/>
      <c r="P918" s="26"/>
    </row>
    <row r="919" spans="9:16" ht="12.5">
      <c r="I919" s="8"/>
      <c r="J919" s="8"/>
      <c r="K919" s="8"/>
      <c r="P919" s="26"/>
    </row>
    <row r="920" spans="9:16" ht="12.5">
      <c r="I920" s="8"/>
      <c r="J920" s="8"/>
      <c r="K920" s="8"/>
      <c r="P920" s="26"/>
    </row>
    <row r="921" spans="9:16" ht="12.5">
      <c r="I921" s="8"/>
      <c r="J921" s="8"/>
      <c r="K921" s="8"/>
      <c r="P921" s="26"/>
    </row>
    <row r="922" spans="9:16" ht="12.5">
      <c r="I922" s="8"/>
      <c r="J922" s="8"/>
      <c r="K922" s="8"/>
      <c r="P922" s="26"/>
    </row>
    <row r="923" spans="9:16" ht="12.5">
      <c r="I923" s="8"/>
      <c r="J923" s="8"/>
      <c r="K923" s="8"/>
      <c r="P923" s="26"/>
    </row>
    <row r="924" spans="9:16" ht="12.5">
      <c r="I924" s="8"/>
      <c r="J924" s="8"/>
      <c r="K924" s="8"/>
      <c r="P924" s="26"/>
    </row>
    <row r="925" spans="9:16" ht="12.5">
      <c r="I925" s="8"/>
      <c r="J925" s="8"/>
      <c r="K925" s="8"/>
      <c r="P925" s="26"/>
    </row>
    <row r="926" spans="9:16" ht="12.5">
      <c r="I926" s="8"/>
      <c r="J926" s="8"/>
      <c r="K926" s="8"/>
      <c r="P926" s="26"/>
    </row>
    <row r="927" spans="9:16" ht="12.5">
      <c r="I927" s="8"/>
      <c r="J927" s="8"/>
      <c r="K927" s="8"/>
      <c r="P927" s="26"/>
    </row>
    <row r="928" spans="9:16" ht="12.5">
      <c r="I928" s="8"/>
      <c r="J928" s="8"/>
      <c r="K928" s="8"/>
      <c r="P928" s="26"/>
    </row>
    <row r="929" spans="9:16" ht="12.5">
      <c r="I929" s="8"/>
      <c r="J929" s="8"/>
      <c r="K929" s="8"/>
      <c r="P929" s="26"/>
    </row>
    <row r="930" spans="9:16" ht="12.5">
      <c r="I930" s="8"/>
      <c r="J930" s="8"/>
      <c r="K930" s="8"/>
      <c r="P930" s="26"/>
    </row>
    <row r="931" spans="9:16" ht="12.5">
      <c r="I931" s="8"/>
      <c r="J931" s="8"/>
      <c r="K931" s="8"/>
      <c r="P931" s="26"/>
    </row>
    <row r="932" spans="9:16" ht="12.5">
      <c r="I932" s="8"/>
      <c r="J932" s="8"/>
      <c r="K932" s="8"/>
      <c r="P932" s="26"/>
    </row>
    <row r="933" spans="9:16" ht="12.5">
      <c r="I933" s="8"/>
      <c r="J933" s="8"/>
      <c r="K933" s="8"/>
      <c r="P933" s="26"/>
    </row>
    <row r="934" spans="9:16" ht="12.5">
      <c r="I934" s="8"/>
      <c r="J934" s="8"/>
      <c r="K934" s="8"/>
      <c r="P934" s="26"/>
    </row>
    <row r="935" spans="9:16" ht="12.5">
      <c r="I935" s="8"/>
      <c r="J935" s="8"/>
      <c r="K935" s="8"/>
      <c r="P935" s="26"/>
    </row>
    <row r="936" spans="9:16" ht="12.5">
      <c r="I936" s="8"/>
      <c r="J936" s="8"/>
      <c r="K936" s="8"/>
      <c r="P936" s="26"/>
    </row>
    <row r="937" spans="9:16" ht="12.5">
      <c r="I937" s="8"/>
      <c r="J937" s="8"/>
      <c r="K937" s="8"/>
      <c r="P937" s="26"/>
    </row>
    <row r="938" spans="9:16" ht="12.5">
      <c r="I938" s="8"/>
      <c r="J938" s="8"/>
      <c r="K938" s="8"/>
      <c r="P938" s="26"/>
    </row>
    <row r="939" spans="9:16" ht="12.5">
      <c r="I939" s="8"/>
      <c r="J939" s="8"/>
      <c r="K939" s="8"/>
      <c r="P939" s="26"/>
    </row>
    <row r="940" spans="9:16" ht="12.5">
      <c r="I940" s="8"/>
      <c r="J940" s="8"/>
      <c r="K940" s="8"/>
      <c r="P940" s="26"/>
    </row>
    <row r="941" spans="9:16" ht="12.5">
      <c r="I941" s="8"/>
      <c r="J941" s="8"/>
      <c r="K941" s="8"/>
      <c r="P941" s="26"/>
    </row>
    <row r="942" spans="9:16" ht="12.5">
      <c r="I942" s="8"/>
      <c r="J942" s="8"/>
      <c r="K942" s="8"/>
      <c r="P942" s="26"/>
    </row>
    <row r="943" spans="9:16" ht="12.5">
      <c r="I943" s="8"/>
      <c r="J943" s="8"/>
      <c r="K943" s="8"/>
      <c r="P943" s="26"/>
    </row>
    <row r="944" spans="9:16" ht="12.5">
      <c r="I944" s="8"/>
      <c r="J944" s="8"/>
      <c r="K944" s="8"/>
      <c r="P944" s="26"/>
    </row>
    <row r="945" spans="9:16" ht="12.5">
      <c r="I945" s="8"/>
      <c r="J945" s="8"/>
      <c r="K945" s="8"/>
      <c r="P945" s="26"/>
    </row>
    <row r="946" spans="9:16" ht="12.5">
      <c r="I946" s="8"/>
      <c r="J946" s="8"/>
      <c r="K946" s="8"/>
      <c r="P946" s="26"/>
    </row>
    <row r="947" spans="9:16" ht="12.5">
      <c r="I947" s="8"/>
      <c r="J947" s="8"/>
      <c r="K947" s="8"/>
      <c r="P947" s="26"/>
    </row>
    <row r="948" spans="9:16" ht="12.5">
      <c r="I948" s="8"/>
      <c r="J948" s="8"/>
      <c r="K948" s="8"/>
      <c r="P948" s="26"/>
    </row>
    <row r="949" spans="9:16" ht="12.5">
      <c r="I949" s="8"/>
      <c r="J949" s="8"/>
      <c r="K949" s="8"/>
      <c r="P949" s="26"/>
    </row>
    <row r="950" spans="9:16" ht="12.5">
      <c r="I950" s="8"/>
      <c r="J950" s="8"/>
      <c r="K950" s="8"/>
      <c r="P950" s="26"/>
    </row>
    <row r="951" spans="9:16" ht="12.5">
      <c r="I951" s="8"/>
      <c r="J951" s="8"/>
      <c r="K951" s="8"/>
      <c r="P951" s="26"/>
    </row>
    <row r="952" spans="9:16" ht="12.5">
      <c r="I952" s="8"/>
      <c r="J952" s="8"/>
      <c r="K952" s="8"/>
      <c r="P952" s="26"/>
    </row>
    <row r="953" spans="9:16" ht="12.5">
      <c r="I953" s="8"/>
      <c r="J953" s="8"/>
      <c r="K953" s="8"/>
      <c r="P953" s="26"/>
    </row>
    <row r="954" spans="9:16" ht="12.5">
      <c r="I954" s="8"/>
      <c r="J954" s="8"/>
      <c r="K954" s="8"/>
      <c r="P954" s="26"/>
    </row>
    <row r="955" spans="9:16" ht="12.5">
      <c r="I955" s="8"/>
      <c r="J955" s="8"/>
      <c r="K955" s="8"/>
      <c r="P955" s="26"/>
    </row>
    <row r="956" spans="9:16" ht="12.5">
      <c r="I956" s="8"/>
      <c r="J956" s="8"/>
      <c r="K956" s="8"/>
      <c r="P956" s="26"/>
    </row>
    <row r="957" spans="9:16" ht="12.5">
      <c r="I957" s="8"/>
      <c r="J957" s="8"/>
      <c r="K957" s="8"/>
      <c r="P957" s="26"/>
    </row>
    <row r="958" spans="9:16" ht="12.5">
      <c r="I958" s="8"/>
      <c r="J958" s="8"/>
      <c r="K958" s="8"/>
      <c r="P958" s="26"/>
    </row>
    <row r="959" spans="9:16" ht="12.5">
      <c r="I959" s="8"/>
      <c r="J959" s="8"/>
      <c r="K959" s="8"/>
      <c r="P959" s="26"/>
    </row>
    <row r="960" spans="9:16" ht="12.5">
      <c r="I960" s="8"/>
      <c r="J960" s="8"/>
      <c r="K960" s="8"/>
      <c r="P960" s="26"/>
    </row>
    <row r="961" spans="9:16" ht="12.5">
      <c r="I961" s="8"/>
      <c r="J961" s="8"/>
      <c r="K961" s="8"/>
      <c r="P961" s="26"/>
    </row>
    <row r="962" spans="9:16" ht="12.5">
      <c r="I962" s="8"/>
      <c r="J962" s="8"/>
      <c r="K962" s="8"/>
      <c r="P962" s="26"/>
    </row>
    <row r="963" spans="9:16" ht="12.5">
      <c r="I963" s="8"/>
      <c r="J963" s="8"/>
      <c r="K963" s="8"/>
      <c r="P963" s="26"/>
    </row>
    <row r="964" spans="9:16" ht="12.5">
      <c r="I964" s="8"/>
      <c r="J964" s="8"/>
      <c r="K964" s="8"/>
      <c r="P964" s="26"/>
    </row>
    <row r="965" spans="9:16" ht="12.5">
      <c r="I965" s="8"/>
      <c r="J965" s="8"/>
      <c r="K965" s="8"/>
      <c r="P965" s="26"/>
    </row>
    <row r="966" spans="9:16" ht="12.5">
      <c r="I966" s="8"/>
      <c r="J966" s="8"/>
      <c r="K966" s="8"/>
      <c r="P966" s="26"/>
    </row>
    <row r="967" spans="9:16" ht="12.5">
      <c r="I967" s="8"/>
      <c r="J967" s="8"/>
      <c r="K967" s="8"/>
      <c r="P967" s="26"/>
    </row>
    <row r="968" spans="9:16" ht="12.5">
      <c r="I968" s="8"/>
      <c r="J968" s="8"/>
      <c r="K968" s="8"/>
      <c r="P968" s="26"/>
    </row>
    <row r="969" spans="9:16" ht="12.5">
      <c r="I969" s="8"/>
      <c r="J969" s="8"/>
      <c r="K969" s="8"/>
      <c r="P969" s="26"/>
    </row>
    <row r="970" spans="9:16" ht="12.5">
      <c r="I970" s="8"/>
      <c r="J970" s="8"/>
      <c r="K970" s="8"/>
      <c r="P970" s="26"/>
    </row>
    <row r="971" spans="9:16" ht="12.5">
      <c r="I971" s="8"/>
      <c r="J971" s="8"/>
      <c r="K971" s="8"/>
      <c r="P971" s="26"/>
    </row>
    <row r="972" spans="9:16" ht="12.5">
      <c r="I972" s="8"/>
      <c r="J972" s="8"/>
      <c r="K972" s="8"/>
      <c r="P972" s="26"/>
    </row>
    <row r="973" spans="9:16" ht="12.5">
      <c r="I973" s="8"/>
      <c r="J973" s="8"/>
      <c r="K973" s="8"/>
      <c r="P973" s="26"/>
    </row>
    <row r="974" spans="9:16" ht="12.5">
      <c r="I974" s="8"/>
      <c r="J974" s="8"/>
      <c r="K974" s="8"/>
      <c r="P974" s="26"/>
    </row>
    <row r="975" spans="9:16" ht="12.5">
      <c r="I975" s="8"/>
      <c r="J975" s="8"/>
      <c r="K975" s="8"/>
      <c r="P975" s="26"/>
    </row>
    <row r="976" spans="9:16" ht="12.5">
      <c r="I976" s="8"/>
      <c r="J976" s="8"/>
      <c r="K976" s="8"/>
      <c r="P976" s="26"/>
    </row>
    <row r="977" spans="9:16" ht="12.5">
      <c r="I977" s="8"/>
      <c r="J977" s="8"/>
      <c r="K977" s="8"/>
      <c r="P977" s="26"/>
    </row>
    <row r="978" spans="9:16" ht="12.5">
      <c r="I978" s="8"/>
      <c r="J978" s="8"/>
      <c r="K978" s="8"/>
      <c r="P978" s="26"/>
    </row>
    <row r="979" spans="9:16" ht="12.5">
      <c r="I979" s="8"/>
      <c r="J979" s="8"/>
      <c r="K979" s="8"/>
      <c r="P979" s="26"/>
    </row>
    <row r="980" spans="9:16" ht="12.5">
      <c r="I980" s="8"/>
      <c r="J980" s="8"/>
      <c r="K980" s="8"/>
      <c r="P980" s="26"/>
    </row>
    <row r="981" spans="9:16" ht="12.5">
      <c r="I981" s="8"/>
      <c r="J981" s="8"/>
      <c r="K981" s="8"/>
      <c r="P981" s="26"/>
    </row>
    <row r="982" spans="9:16" ht="12.5">
      <c r="I982" s="8"/>
      <c r="J982" s="8"/>
      <c r="K982" s="8"/>
      <c r="P982" s="26"/>
    </row>
    <row r="983" spans="9:16" ht="12.5">
      <c r="I983" s="8"/>
      <c r="J983" s="8"/>
      <c r="K983" s="8"/>
      <c r="P983" s="26"/>
    </row>
    <row r="984" spans="9:16" ht="12.5">
      <c r="I984" s="8"/>
      <c r="J984" s="8"/>
      <c r="K984" s="8"/>
      <c r="P984" s="26"/>
    </row>
    <row r="985" spans="9:16" ht="12.5">
      <c r="I985" s="8"/>
      <c r="J985" s="8"/>
      <c r="K985" s="8"/>
      <c r="P985" s="26"/>
    </row>
    <row r="986" spans="9:16" ht="12.5">
      <c r="I986" s="8"/>
      <c r="J986" s="8"/>
      <c r="K986" s="8"/>
      <c r="P986" s="26"/>
    </row>
    <row r="987" spans="9:16" ht="12.5">
      <c r="I987" s="8"/>
      <c r="J987" s="8"/>
      <c r="K987" s="8"/>
      <c r="P987" s="26"/>
    </row>
    <row r="988" spans="9:16" ht="12.5">
      <c r="I988" s="8"/>
      <c r="J988" s="8"/>
      <c r="K988" s="8"/>
      <c r="P988" s="26"/>
    </row>
    <row r="989" spans="9:16" ht="12.5">
      <c r="I989" s="8"/>
      <c r="J989" s="8"/>
      <c r="K989" s="8"/>
      <c r="P989" s="26"/>
    </row>
    <row r="990" spans="9:16" ht="12.5">
      <c r="I990" s="8"/>
      <c r="J990" s="8"/>
      <c r="K990" s="8"/>
      <c r="P990" s="26"/>
    </row>
    <row r="991" spans="9:16" ht="12.5">
      <c r="I991" s="8"/>
      <c r="J991" s="8"/>
      <c r="K991" s="8"/>
      <c r="P991" s="26"/>
    </row>
    <row r="992" spans="9:16" ht="12.5">
      <c r="I992" s="8"/>
      <c r="J992" s="8"/>
      <c r="K992" s="8"/>
      <c r="P992" s="26"/>
    </row>
    <row r="993" spans="9:16" ht="12.5">
      <c r="I993" s="8"/>
      <c r="J993" s="8"/>
      <c r="K993" s="8"/>
      <c r="P993" s="26"/>
    </row>
    <row r="994" spans="9:16" ht="12.5">
      <c r="I994" s="8"/>
      <c r="J994" s="8"/>
      <c r="K994" s="8"/>
      <c r="P994" s="26"/>
    </row>
    <row r="995" spans="9:16" ht="12.5">
      <c r="I995" s="8"/>
      <c r="J995" s="8"/>
      <c r="K995" s="8"/>
      <c r="P995" s="26"/>
    </row>
    <row r="996" spans="9:16" ht="12.5">
      <c r="I996" s="8"/>
      <c r="J996" s="8"/>
      <c r="K996" s="8"/>
      <c r="P996" s="26"/>
    </row>
    <row r="997" spans="9:16" ht="12.5">
      <c r="I997" s="8"/>
      <c r="J997" s="8"/>
      <c r="K997" s="8"/>
      <c r="P997" s="26"/>
    </row>
    <row r="998" spans="9:16" ht="12.5">
      <c r="I998" s="8"/>
      <c r="J998" s="8"/>
      <c r="K998" s="8"/>
      <c r="P998" s="26"/>
    </row>
    <row r="999" spans="9:16" ht="12.5">
      <c r="I999" s="8"/>
      <c r="J999" s="8"/>
      <c r="K999" s="8"/>
      <c r="P999" s="26"/>
    </row>
    <row r="1000" spans="9:16" ht="12.5">
      <c r="I1000" s="8"/>
      <c r="J1000" s="8"/>
      <c r="K1000" s="8"/>
      <c r="P1000" s="26"/>
    </row>
  </sheetData>
  <hyperlinks>
    <hyperlink ref="C3" r:id="rId1" xr:uid="{00000000-0004-0000-0000-000000000000}"/>
    <hyperlink ref="C4" r:id="rId2" xr:uid="{00000000-0004-0000-0000-000001000000}"/>
    <hyperlink ref="C5" r:id="rId3" xr:uid="{00000000-0004-0000-0000-000002000000}"/>
    <hyperlink ref="C6" r:id="rId4" xr:uid="{00000000-0004-0000-0000-000003000000}"/>
    <hyperlink ref="D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D15" r:id="rId15" xr:uid="{00000000-0004-0000-0000-00000E000000}"/>
    <hyperlink ref="C16" r:id="rId16" xr:uid="{00000000-0004-0000-0000-00000F000000}"/>
    <hyperlink ref="C17" r:id="rId17" xr:uid="{00000000-0004-0000-0000-000010000000}"/>
    <hyperlink ref="D17" r:id="rId18" xr:uid="{00000000-0004-0000-0000-000011000000}"/>
    <hyperlink ref="C18" r:id="rId19" xr:uid="{00000000-0004-0000-0000-000012000000}"/>
    <hyperlink ref="C19" r:id="rId20" xr:uid="{00000000-0004-0000-0000-000013000000}"/>
    <hyperlink ref="C20" r:id="rId21" xr:uid="{00000000-0004-0000-0000-000014000000}"/>
    <hyperlink ref="C21" r:id="rId22" xr:uid="{00000000-0004-0000-0000-000015000000}"/>
    <hyperlink ref="C22" r:id="rId23" xr:uid="{00000000-0004-0000-0000-000016000000}"/>
    <hyperlink ref="D22" r:id="rId24" xr:uid="{00000000-0004-0000-0000-000017000000}"/>
    <hyperlink ref="C23" r:id="rId25" xr:uid="{00000000-0004-0000-0000-000018000000}"/>
    <hyperlink ref="C24" r:id="rId26" xr:uid="{00000000-0004-0000-0000-000019000000}"/>
    <hyperlink ref="C25" r:id="rId27" xr:uid="{00000000-0004-0000-0000-00001A000000}"/>
    <hyperlink ref="C26" r:id="rId28" xr:uid="{00000000-0004-0000-0000-00001B000000}"/>
    <hyperlink ref="C27" r:id="rId29" xr:uid="{00000000-0004-0000-0000-00001C000000}"/>
    <hyperlink ref="C28" r:id="rId30" xr:uid="{00000000-0004-0000-0000-00001D000000}"/>
    <hyperlink ref="C29" r:id="rId31" xr:uid="{00000000-0004-0000-0000-00001E000000}"/>
    <hyperlink ref="C30" r:id="rId32" xr:uid="{00000000-0004-0000-0000-00001F000000}"/>
    <hyperlink ref="C31" r:id="rId33" xr:uid="{00000000-0004-0000-0000-000020000000}"/>
    <hyperlink ref="C32" r:id="rId34" xr:uid="{00000000-0004-0000-0000-000021000000}"/>
    <hyperlink ref="C33" r:id="rId35" xr:uid="{00000000-0004-0000-0000-000022000000}"/>
    <hyperlink ref="C34" r:id="rId36" xr:uid="{00000000-0004-0000-0000-000023000000}"/>
    <hyperlink ref="C35" r:id="rId37" xr:uid="{00000000-0004-0000-0000-000024000000}"/>
    <hyperlink ref="C36" r:id="rId38" xr:uid="{00000000-0004-0000-0000-000025000000}"/>
    <hyperlink ref="C37" r:id="rId39" xr:uid="{00000000-0004-0000-0000-000026000000}"/>
    <hyperlink ref="C38" r:id="rId40" xr:uid="{00000000-0004-0000-0000-000027000000}"/>
    <hyperlink ref="C39" r:id="rId41" xr:uid="{00000000-0004-0000-0000-000028000000}"/>
    <hyperlink ref="C40" r:id="rId42" xr:uid="{00000000-0004-0000-0000-000029000000}"/>
    <hyperlink ref="C41" r:id="rId43" xr:uid="{00000000-0004-0000-0000-00002A000000}"/>
    <hyperlink ref="C42" r:id="rId44" xr:uid="{00000000-0004-0000-0000-00002B000000}"/>
    <hyperlink ref="C43" r:id="rId45" xr:uid="{00000000-0004-0000-0000-00002C000000}"/>
    <hyperlink ref="C44" r:id="rId46" xr:uid="{00000000-0004-0000-0000-00002D000000}"/>
    <hyperlink ref="C45" r:id="rId47" xr:uid="{00000000-0004-0000-0000-00002E000000}"/>
    <hyperlink ref="C46" r:id="rId48" xr:uid="{00000000-0004-0000-0000-00002F000000}"/>
    <hyperlink ref="C47" r:id="rId49" xr:uid="{00000000-0004-0000-0000-000030000000}"/>
    <hyperlink ref="C48" r:id="rId50" xr:uid="{00000000-0004-0000-0000-000031000000}"/>
    <hyperlink ref="D48" r:id="rId51" xr:uid="{00000000-0004-0000-0000-000032000000}"/>
    <hyperlink ref="C49" r:id="rId52" xr:uid="{00000000-0004-0000-0000-000033000000}"/>
    <hyperlink ref="C50" r:id="rId53" xr:uid="{00000000-0004-0000-0000-000034000000}"/>
    <hyperlink ref="C51" r:id="rId54" xr:uid="{00000000-0004-0000-0000-000035000000}"/>
    <hyperlink ref="C52" r:id="rId55" xr:uid="{00000000-0004-0000-0000-000036000000}"/>
    <hyperlink ref="C53" r:id="rId56" xr:uid="{00000000-0004-0000-0000-000037000000}"/>
    <hyperlink ref="C54" r:id="rId57" xr:uid="{00000000-0004-0000-0000-000038000000}"/>
    <hyperlink ref="C55" r:id="rId58" xr:uid="{00000000-0004-0000-0000-000039000000}"/>
    <hyperlink ref="C56" r:id="rId59" xr:uid="{00000000-0004-0000-0000-00003A000000}"/>
    <hyperlink ref="C57" r:id="rId60" xr:uid="{00000000-0004-0000-0000-00003B000000}"/>
    <hyperlink ref="C58" r:id="rId61" xr:uid="{00000000-0004-0000-0000-00003C000000}"/>
    <hyperlink ref="D58" r:id="rId62" xr:uid="{00000000-0004-0000-0000-00003D000000}"/>
    <hyperlink ref="C59" r:id="rId63" xr:uid="{00000000-0004-0000-0000-00003E000000}"/>
    <hyperlink ref="C60" r:id="rId64" xr:uid="{00000000-0004-0000-0000-00003F000000}"/>
    <hyperlink ref="C61" r:id="rId65" xr:uid="{00000000-0004-0000-0000-000040000000}"/>
    <hyperlink ref="D61" r:id="rId66" xr:uid="{00000000-0004-0000-0000-000041000000}"/>
    <hyperlink ref="C62" r:id="rId67" xr:uid="{00000000-0004-0000-0000-000042000000}"/>
    <hyperlink ref="C63" r:id="rId68" xr:uid="{00000000-0004-0000-0000-000043000000}"/>
    <hyperlink ref="C64" r:id="rId69" xr:uid="{00000000-0004-0000-0000-000044000000}"/>
    <hyperlink ref="C65" r:id="rId70" xr:uid="{00000000-0004-0000-0000-000045000000}"/>
    <hyperlink ref="C66" r:id="rId71" xr:uid="{00000000-0004-0000-0000-000046000000}"/>
    <hyperlink ref="C67" r:id="rId72" xr:uid="{00000000-0004-0000-0000-000047000000}"/>
    <hyperlink ref="C68" r:id="rId73" xr:uid="{00000000-0004-0000-0000-000048000000}"/>
    <hyperlink ref="D68" r:id="rId74" xr:uid="{00000000-0004-0000-0000-000049000000}"/>
    <hyperlink ref="C69" r:id="rId75" xr:uid="{00000000-0004-0000-0000-00004A000000}"/>
    <hyperlink ref="C70" r:id="rId76" xr:uid="{00000000-0004-0000-0000-00004B000000}"/>
    <hyperlink ref="D70" r:id="rId77" xr:uid="{00000000-0004-0000-0000-00004C000000}"/>
    <hyperlink ref="C71" r:id="rId78" xr:uid="{00000000-0004-0000-0000-00004D000000}"/>
    <hyperlink ref="D71" r:id="rId79" xr:uid="{00000000-0004-0000-0000-00004E000000}"/>
    <hyperlink ref="C72" r:id="rId80" xr:uid="{00000000-0004-0000-0000-00004F000000}"/>
    <hyperlink ref="C73" r:id="rId81" xr:uid="{00000000-0004-0000-0000-000050000000}"/>
    <hyperlink ref="C74" r:id="rId82" xr:uid="{00000000-0004-0000-0000-000051000000}"/>
    <hyperlink ref="C75" r:id="rId83" xr:uid="{00000000-0004-0000-0000-000052000000}"/>
    <hyperlink ref="C76" r:id="rId84" xr:uid="{00000000-0004-0000-0000-000053000000}"/>
    <hyperlink ref="C77" r:id="rId85" xr:uid="{00000000-0004-0000-0000-000054000000}"/>
    <hyperlink ref="C78" r:id="rId86" xr:uid="{00000000-0004-0000-0000-000055000000}"/>
    <hyperlink ref="C79" r:id="rId87" xr:uid="{00000000-0004-0000-0000-000056000000}"/>
    <hyperlink ref="D79" r:id="rId88" xr:uid="{00000000-0004-0000-0000-000057000000}"/>
    <hyperlink ref="C80" r:id="rId89" xr:uid="{00000000-0004-0000-0000-000058000000}"/>
    <hyperlink ref="C81" r:id="rId90" xr:uid="{00000000-0004-0000-0000-000059000000}"/>
    <hyperlink ref="C82" r:id="rId91" xr:uid="{00000000-0004-0000-0000-00005A000000}"/>
    <hyperlink ref="D82" r:id="rId92" xr:uid="{00000000-0004-0000-0000-00005B000000}"/>
    <hyperlink ref="C83" r:id="rId93" xr:uid="{00000000-0004-0000-0000-00005C000000}"/>
    <hyperlink ref="C84" r:id="rId94" xr:uid="{00000000-0004-0000-0000-00005D000000}"/>
    <hyperlink ref="C85" r:id="rId95" xr:uid="{00000000-0004-0000-0000-00005E000000}"/>
    <hyperlink ref="C86" r:id="rId96" xr:uid="{00000000-0004-0000-0000-00005F000000}"/>
    <hyperlink ref="C87" r:id="rId97" xr:uid="{00000000-0004-0000-0000-000060000000}"/>
    <hyperlink ref="C88" r:id="rId98" xr:uid="{00000000-0004-0000-0000-000061000000}"/>
    <hyperlink ref="C89" r:id="rId99" xr:uid="{00000000-0004-0000-0000-000062000000}"/>
    <hyperlink ref="C90" r:id="rId100" xr:uid="{00000000-0004-0000-0000-000063000000}"/>
    <hyperlink ref="C91" r:id="rId101" xr:uid="{00000000-0004-0000-0000-000064000000}"/>
    <hyperlink ref="C92" r:id="rId102" xr:uid="{00000000-0004-0000-0000-000065000000}"/>
    <hyperlink ref="C93" r:id="rId103" xr:uid="{00000000-0004-0000-0000-000066000000}"/>
    <hyperlink ref="C94" r:id="rId104" xr:uid="{00000000-0004-0000-0000-000067000000}"/>
    <hyperlink ref="C95" r:id="rId105" xr:uid="{00000000-0004-0000-0000-000068000000}"/>
    <hyperlink ref="C96" r:id="rId106" xr:uid="{00000000-0004-0000-0000-000069000000}"/>
    <hyperlink ref="C97" r:id="rId107" xr:uid="{00000000-0004-0000-0000-00006A000000}"/>
    <hyperlink ref="C98" r:id="rId108" xr:uid="{00000000-0004-0000-0000-00006B000000}"/>
    <hyperlink ref="C99" r:id="rId109" xr:uid="{00000000-0004-0000-0000-00006C000000}"/>
    <hyperlink ref="C100" r:id="rId110" xr:uid="{00000000-0004-0000-0000-00006D000000}"/>
    <hyperlink ref="D100" r:id="rId111" xr:uid="{00000000-0004-0000-0000-00006E000000}"/>
    <hyperlink ref="C101" r:id="rId112" xr:uid="{00000000-0004-0000-0000-00006F000000}"/>
    <hyperlink ref="C102" r:id="rId113" xr:uid="{00000000-0004-0000-0000-000070000000}"/>
  </hyperlink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00"/>
  <sheetViews>
    <sheetView tabSelected="1" workbookViewId="0"/>
  </sheetViews>
  <sheetFormatPr defaultColWidth="12.6328125" defaultRowHeight="15.75" customHeight="1"/>
  <cols>
    <col min="2" max="2" width="20.26953125" customWidth="1"/>
    <col min="3" max="3" width="85" customWidth="1"/>
    <col min="4" max="4" width="46" customWidth="1"/>
    <col min="5" max="5" width="13.26953125" customWidth="1"/>
    <col min="6" max="6" width="53.453125" customWidth="1"/>
    <col min="7" max="7" width="20.6328125" customWidth="1"/>
    <col min="8" max="8" width="25" customWidth="1"/>
    <col min="9" max="9" width="20" customWidth="1"/>
    <col min="10" max="10" width="21.6328125" customWidth="1"/>
    <col min="11" max="11" width="21.90625" customWidth="1"/>
    <col min="12" max="12" width="34.6328125" customWidth="1"/>
    <col min="13" max="13" width="15.6328125" customWidth="1"/>
    <col min="14" max="14" width="22.453125" customWidth="1"/>
    <col min="16" max="16" width="17.6328125" customWidth="1"/>
    <col min="17" max="17" width="15" customWidth="1"/>
    <col min="18" max="18" width="15.7265625" customWidth="1"/>
    <col min="22" max="22" width="18" customWidth="1"/>
  </cols>
  <sheetData>
    <row r="1" spans="1:26" ht="13">
      <c r="A1" s="1"/>
      <c r="B1" s="2" t="s">
        <v>2</v>
      </c>
      <c r="C1" s="2" t="s">
        <v>4</v>
      </c>
      <c r="D1" s="2" t="s">
        <v>6</v>
      </c>
      <c r="E1" s="2" t="s">
        <v>7</v>
      </c>
      <c r="F1" s="2" t="s">
        <v>8</v>
      </c>
      <c r="G1" s="2" t="s">
        <v>9</v>
      </c>
      <c r="H1" s="2" t="s">
        <v>10</v>
      </c>
      <c r="I1" s="2" t="s">
        <v>11</v>
      </c>
      <c r="J1" s="2" t="s">
        <v>12</v>
      </c>
      <c r="K1" s="2" t="s">
        <v>13</v>
      </c>
      <c r="L1" s="2" t="s">
        <v>0</v>
      </c>
      <c r="M1" s="2" t="s">
        <v>3</v>
      </c>
      <c r="N1" s="2" t="s">
        <v>5</v>
      </c>
      <c r="O1" s="2" t="s">
        <v>14</v>
      </c>
      <c r="P1" s="4" t="s">
        <v>15</v>
      </c>
      <c r="Q1" s="2" t="s">
        <v>16</v>
      </c>
      <c r="R1" s="2" t="s">
        <v>17</v>
      </c>
      <c r="S1" s="5"/>
    </row>
    <row r="2" spans="1:26" ht="110.25" customHeight="1">
      <c r="A2" s="6" t="s">
        <v>18</v>
      </c>
      <c r="B2" s="7" t="s">
        <v>19</v>
      </c>
      <c r="C2" s="9" t="s">
        <v>4</v>
      </c>
      <c r="D2" s="10" t="s">
        <v>20</v>
      </c>
      <c r="E2" s="11" t="s">
        <v>21</v>
      </c>
      <c r="F2" s="7" t="s">
        <v>23</v>
      </c>
      <c r="G2" s="7" t="s">
        <v>24</v>
      </c>
      <c r="H2" s="13" t="s">
        <v>25</v>
      </c>
      <c r="I2" s="7" t="s">
        <v>26</v>
      </c>
      <c r="J2" s="13" t="s">
        <v>28</v>
      </c>
      <c r="K2" s="13" t="s">
        <v>25</v>
      </c>
      <c r="L2" s="7" t="s">
        <v>30</v>
      </c>
      <c r="M2" s="7" t="s">
        <v>31</v>
      </c>
      <c r="N2" s="7" t="s">
        <v>32</v>
      </c>
      <c r="O2" s="7" t="s">
        <v>33</v>
      </c>
      <c r="P2" s="7" t="s">
        <v>34</v>
      </c>
      <c r="Q2" s="7" t="s">
        <v>19</v>
      </c>
      <c r="R2" s="7" t="s">
        <v>35</v>
      </c>
      <c r="S2" s="14"/>
      <c r="T2" s="15"/>
      <c r="U2" s="15"/>
      <c r="V2" s="15"/>
      <c r="W2" s="15"/>
      <c r="X2" s="15"/>
      <c r="Y2" s="15"/>
      <c r="Z2" s="15"/>
    </row>
    <row r="3" spans="1:26" ht="13">
      <c r="A3" s="2" t="s">
        <v>36</v>
      </c>
      <c r="B3" s="17">
        <f ca="1">IFERROR(__xludf.DUMMYFUNCTION("ARRAYFORMULA(IF(C3:C1000="""", """", IFERROR(VALUE(REGEXEXTRACT(C3:C1000, ""\d+"")), """")))"),4834070)</f>
        <v>4834070</v>
      </c>
      <c r="C3" s="19" t="s">
        <v>37</v>
      </c>
      <c r="D3" s="21" t="s">
        <v>39</v>
      </c>
      <c r="E3" s="22">
        <v>46199</v>
      </c>
      <c r="F3" s="17">
        <v>0</v>
      </c>
      <c r="G3" s="17">
        <v>0</v>
      </c>
      <c r="H3" s="3">
        <v>1.99</v>
      </c>
      <c r="I3" s="8">
        <v>0</v>
      </c>
      <c r="J3" s="8">
        <v>0</v>
      </c>
      <c r="K3" s="8">
        <v>1.99</v>
      </c>
      <c r="L3" s="17">
        <v>1</v>
      </c>
      <c r="M3" s="17">
        <v>1</v>
      </c>
      <c r="N3" s="3">
        <v>3</v>
      </c>
      <c r="O3" s="17">
        <v>1</v>
      </c>
      <c r="P3" s="26">
        <v>0</v>
      </c>
      <c r="Q3" s="3">
        <v>694</v>
      </c>
      <c r="R3" s="27">
        <v>88.69</v>
      </c>
      <c r="T3" s="28"/>
      <c r="U3" s="28"/>
      <c r="V3" s="28"/>
      <c r="W3" s="28"/>
      <c r="X3" s="28"/>
    </row>
    <row r="4" spans="1:26" ht="13">
      <c r="A4" s="2" t="s">
        <v>41</v>
      </c>
      <c r="B4" s="17">
        <f ca="1">IFERROR(__xludf.DUMMYFUNCTION("""COMPUTED_VALUE"""),2744010)</f>
        <v>2744010</v>
      </c>
      <c r="C4" s="19" t="s">
        <v>42</v>
      </c>
      <c r="D4" s="29" t="s">
        <v>44</v>
      </c>
      <c r="E4" s="22">
        <v>45737</v>
      </c>
      <c r="F4" s="17">
        <v>0</v>
      </c>
      <c r="G4" s="17">
        <v>0</v>
      </c>
      <c r="H4" s="3">
        <v>11.99</v>
      </c>
      <c r="I4" s="8">
        <v>0</v>
      </c>
      <c r="J4" s="8">
        <v>0</v>
      </c>
      <c r="K4" s="8">
        <v>11.99</v>
      </c>
      <c r="L4" s="17">
        <v>1</v>
      </c>
      <c r="M4" s="17">
        <v>1</v>
      </c>
      <c r="N4" s="3">
        <v>3</v>
      </c>
      <c r="O4" s="17">
        <v>1</v>
      </c>
      <c r="P4" s="26">
        <v>0</v>
      </c>
      <c r="Q4" s="17">
        <v>778</v>
      </c>
      <c r="R4" s="31">
        <v>85.37</v>
      </c>
      <c r="T4" s="32"/>
      <c r="U4" s="32"/>
      <c r="V4" s="32"/>
      <c r="W4" s="32"/>
      <c r="X4" s="28"/>
    </row>
    <row r="5" spans="1:26" ht="13">
      <c r="A5" s="2" t="s">
        <v>46</v>
      </c>
      <c r="B5" s="17">
        <f ca="1">IFERROR(__xludf.DUMMYFUNCTION("""COMPUTED_VALUE"""),3734400)</f>
        <v>3734400</v>
      </c>
      <c r="C5" s="19" t="s">
        <v>47</v>
      </c>
      <c r="D5" s="19" t="s">
        <v>49</v>
      </c>
      <c r="E5" s="22">
        <v>46085</v>
      </c>
      <c r="F5" s="17">
        <v>0</v>
      </c>
      <c r="G5" s="17">
        <v>0</v>
      </c>
      <c r="H5" s="3">
        <v>6.99</v>
      </c>
      <c r="I5" s="8">
        <v>0</v>
      </c>
      <c r="J5" s="8">
        <v>0</v>
      </c>
      <c r="K5" s="8">
        <v>6.99</v>
      </c>
      <c r="L5" s="17">
        <v>1</v>
      </c>
      <c r="M5" s="17">
        <v>1</v>
      </c>
      <c r="N5" s="3">
        <v>3</v>
      </c>
      <c r="O5" s="17">
        <v>1</v>
      </c>
      <c r="P5" s="26">
        <v>0</v>
      </c>
      <c r="Q5" s="17">
        <v>225</v>
      </c>
      <c r="R5" s="31">
        <v>83.79</v>
      </c>
      <c r="T5" s="32"/>
      <c r="U5" s="32"/>
      <c r="V5" s="32"/>
      <c r="W5" s="32"/>
      <c r="X5" s="28"/>
    </row>
    <row r="6" spans="1:26" ht="13">
      <c r="A6" s="2" t="s">
        <v>51</v>
      </c>
      <c r="B6" s="17">
        <f ca="1">IFERROR(__xludf.DUMMYFUNCTION("""COMPUTED_VALUE"""),3913270)</f>
        <v>3913270</v>
      </c>
      <c r="C6" s="19" t="s">
        <v>52</v>
      </c>
      <c r="D6" s="19" t="s">
        <v>54</v>
      </c>
      <c r="E6" s="22">
        <v>46127</v>
      </c>
      <c r="F6" s="17">
        <v>0</v>
      </c>
      <c r="G6" s="17">
        <v>0</v>
      </c>
      <c r="H6" s="3">
        <v>2.99</v>
      </c>
      <c r="I6" s="8">
        <v>0</v>
      </c>
      <c r="J6" s="8">
        <v>0</v>
      </c>
      <c r="K6" s="8">
        <v>2.99</v>
      </c>
      <c r="L6" s="17">
        <v>1</v>
      </c>
      <c r="M6" s="17">
        <v>1</v>
      </c>
      <c r="N6" s="3">
        <v>3</v>
      </c>
      <c r="O6" s="17">
        <v>1</v>
      </c>
      <c r="P6" s="26">
        <v>0</v>
      </c>
      <c r="Q6" s="17">
        <v>334</v>
      </c>
      <c r="R6" s="31">
        <v>83.15</v>
      </c>
      <c r="T6" s="32"/>
      <c r="U6" s="32"/>
      <c r="V6" s="32"/>
      <c r="W6" s="32"/>
      <c r="X6" s="28"/>
    </row>
    <row r="7" spans="1:26" ht="13">
      <c r="A7" s="2" t="s">
        <v>55</v>
      </c>
      <c r="B7" s="17">
        <f ca="1">IFERROR(__xludf.DUMMYFUNCTION("""COMPUTED_VALUE"""),2129220)</f>
        <v>2129220</v>
      </c>
      <c r="C7" s="35" t="s">
        <v>57</v>
      </c>
      <c r="D7" s="19" t="s">
        <v>58</v>
      </c>
      <c r="E7" s="22">
        <v>45499</v>
      </c>
      <c r="F7" s="17">
        <v>0</v>
      </c>
      <c r="G7" s="17">
        <v>0</v>
      </c>
      <c r="H7" s="3">
        <v>19.989999999999998</v>
      </c>
      <c r="I7" s="8">
        <v>0</v>
      </c>
      <c r="J7" s="8">
        <v>0</v>
      </c>
      <c r="K7" s="8">
        <v>19.989999999999998</v>
      </c>
      <c r="L7" s="17">
        <v>1</v>
      </c>
      <c r="M7" s="17">
        <v>1</v>
      </c>
      <c r="N7" s="3">
        <v>3</v>
      </c>
      <c r="O7" s="17">
        <v>1</v>
      </c>
      <c r="P7" s="26">
        <v>0</v>
      </c>
      <c r="Q7" s="17">
        <v>195</v>
      </c>
      <c r="R7" s="31">
        <v>67.75</v>
      </c>
      <c r="T7" s="36"/>
      <c r="U7" s="36"/>
      <c r="V7" s="36"/>
      <c r="W7" s="36"/>
      <c r="X7" s="28"/>
    </row>
    <row r="8" spans="1:26" ht="13">
      <c r="A8" s="2" t="s">
        <v>60</v>
      </c>
      <c r="B8" s="17">
        <f ca="1">IFERROR(__xludf.DUMMYFUNCTION("""COMPUTED_VALUE"""),2720950)</f>
        <v>2720950</v>
      </c>
      <c r="C8" s="35" t="s">
        <v>61</v>
      </c>
      <c r="D8" s="38" t="s">
        <v>62</v>
      </c>
      <c r="E8" s="22">
        <v>45569</v>
      </c>
      <c r="F8" s="17">
        <v>0</v>
      </c>
      <c r="G8" s="17">
        <v>0</v>
      </c>
      <c r="H8" s="3">
        <v>12.99</v>
      </c>
      <c r="I8" s="8">
        <v>0</v>
      </c>
      <c r="J8" s="8">
        <v>0</v>
      </c>
      <c r="K8" s="8">
        <v>12.99</v>
      </c>
      <c r="L8" s="17">
        <v>1</v>
      </c>
      <c r="M8" s="17">
        <v>1</v>
      </c>
      <c r="N8" s="3">
        <v>3</v>
      </c>
      <c r="O8" s="17">
        <v>1</v>
      </c>
      <c r="P8" s="26">
        <v>0</v>
      </c>
      <c r="Q8" s="17">
        <v>1451</v>
      </c>
      <c r="R8" s="31">
        <v>91.17</v>
      </c>
      <c r="T8" s="32"/>
      <c r="U8" s="32"/>
      <c r="V8" s="32"/>
      <c r="W8" s="32"/>
      <c r="X8" s="28"/>
    </row>
    <row r="9" spans="1:26" ht="13">
      <c r="A9" s="2" t="s">
        <v>64</v>
      </c>
      <c r="B9" s="17">
        <f ca="1">IFERROR(__xludf.DUMMYFUNCTION("""COMPUTED_VALUE"""),3393740)</f>
        <v>3393740</v>
      </c>
      <c r="C9" s="35" t="s">
        <v>66</v>
      </c>
      <c r="D9" s="19" t="s">
        <v>67</v>
      </c>
      <c r="E9" s="22">
        <v>45880</v>
      </c>
      <c r="F9" s="17">
        <v>0</v>
      </c>
      <c r="G9" s="17">
        <v>0</v>
      </c>
      <c r="H9" s="3">
        <v>8.99</v>
      </c>
      <c r="I9" s="8">
        <v>0</v>
      </c>
      <c r="J9" s="8">
        <v>0</v>
      </c>
      <c r="K9" s="8">
        <v>8.99</v>
      </c>
      <c r="L9" s="17">
        <v>1</v>
      </c>
      <c r="M9" s="17">
        <v>1</v>
      </c>
      <c r="N9" s="3">
        <v>3</v>
      </c>
      <c r="O9" s="17">
        <v>1</v>
      </c>
      <c r="P9" s="26">
        <v>0</v>
      </c>
      <c r="Q9" s="17">
        <v>128</v>
      </c>
      <c r="R9" s="31">
        <v>78.819999999999993</v>
      </c>
      <c r="T9" s="32"/>
      <c r="U9" s="32"/>
      <c r="V9" s="32"/>
      <c r="W9" s="32"/>
      <c r="X9" s="28"/>
    </row>
    <row r="10" spans="1:26" ht="13">
      <c r="A10" s="2" t="s">
        <v>69</v>
      </c>
      <c r="B10" s="17">
        <f ca="1">IFERROR(__xludf.DUMMYFUNCTION("""COMPUTED_VALUE"""),3482510)</f>
        <v>3482510</v>
      </c>
      <c r="C10" s="35" t="s">
        <v>70</v>
      </c>
      <c r="D10" s="19" t="s">
        <v>72</v>
      </c>
      <c r="E10" s="22">
        <v>46087</v>
      </c>
      <c r="F10" s="17">
        <v>0</v>
      </c>
      <c r="G10" s="17">
        <v>0</v>
      </c>
      <c r="H10" s="3">
        <v>9.99</v>
      </c>
      <c r="I10" s="8">
        <v>0</v>
      </c>
      <c r="J10" s="8">
        <v>0</v>
      </c>
      <c r="K10" s="8">
        <v>9.99</v>
      </c>
      <c r="L10" s="17">
        <v>1</v>
      </c>
      <c r="M10" s="17">
        <v>1</v>
      </c>
      <c r="N10" s="3">
        <v>3</v>
      </c>
      <c r="O10" s="17">
        <v>1</v>
      </c>
      <c r="P10" s="26">
        <v>0</v>
      </c>
      <c r="Q10" s="17">
        <v>102</v>
      </c>
      <c r="R10" s="31">
        <v>69.17</v>
      </c>
      <c r="T10" s="32"/>
      <c r="U10" s="32"/>
      <c r="V10" s="32"/>
      <c r="W10" s="32"/>
      <c r="X10" s="28"/>
    </row>
    <row r="11" spans="1:26" ht="13">
      <c r="A11" s="2" t="s">
        <v>74</v>
      </c>
      <c r="B11" s="17">
        <f ca="1">IFERROR(__xludf.DUMMYFUNCTION("""COMPUTED_VALUE"""),4231470)</f>
        <v>4231470</v>
      </c>
      <c r="C11" s="35" t="s">
        <v>76</v>
      </c>
      <c r="D11" s="19" t="s">
        <v>77</v>
      </c>
      <c r="E11" s="22">
        <v>46092</v>
      </c>
      <c r="F11" s="17">
        <v>0</v>
      </c>
      <c r="G11" s="17">
        <v>0</v>
      </c>
      <c r="H11" s="3">
        <v>4.99</v>
      </c>
      <c r="I11" s="8">
        <v>0</v>
      </c>
      <c r="J11" s="8">
        <v>0</v>
      </c>
      <c r="K11" s="8">
        <v>4.99</v>
      </c>
      <c r="L11" s="17">
        <v>1</v>
      </c>
      <c r="M11" s="17">
        <v>1</v>
      </c>
      <c r="N11" s="3">
        <v>3</v>
      </c>
      <c r="O11" s="17">
        <v>1</v>
      </c>
      <c r="P11" s="26">
        <v>0</v>
      </c>
      <c r="Q11" s="17">
        <v>118</v>
      </c>
      <c r="R11" s="31">
        <v>84.91</v>
      </c>
      <c r="T11" s="32"/>
      <c r="U11" s="32"/>
      <c r="V11" s="32"/>
      <c r="W11" s="32"/>
      <c r="X11" s="28"/>
    </row>
    <row r="12" spans="1:26" ht="13">
      <c r="A12" s="2" t="s">
        <v>79</v>
      </c>
      <c r="B12" s="17">
        <f ca="1">IFERROR(__xludf.DUMMYFUNCTION("""COMPUTED_VALUE"""),3252360)</f>
        <v>3252360</v>
      </c>
      <c r="C12" s="35" t="s">
        <v>80</v>
      </c>
      <c r="D12" s="39" t="s">
        <v>83</v>
      </c>
      <c r="E12" s="22">
        <v>46056</v>
      </c>
      <c r="F12" s="17">
        <v>0</v>
      </c>
      <c r="G12" s="17">
        <v>0</v>
      </c>
      <c r="H12" s="3">
        <v>9.99</v>
      </c>
      <c r="I12" s="8">
        <v>0</v>
      </c>
      <c r="J12" s="8">
        <v>0</v>
      </c>
      <c r="K12" s="8">
        <v>9.99</v>
      </c>
      <c r="L12" s="17">
        <v>1</v>
      </c>
      <c r="M12" s="17">
        <v>1</v>
      </c>
      <c r="N12" s="3">
        <v>3</v>
      </c>
      <c r="O12" s="17">
        <v>1</v>
      </c>
      <c r="P12" s="26">
        <v>0</v>
      </c>
      <c r="Q12" s="17">
        <v>137</v>
      </c>
      <c r="R12" s="31">
        <v>76.8</v>
      </c>
      <c r="T12" s="32"/>
      <c r="U12" s="32"/>
      <c r="V12" s="32"/>
      <c r="W12" s="32"/>
      <c r="X12" s="28"/>
    </row>
    <row r="13" spans="1:26" ht="13">
      <c r="A13" s="2" t="s">
        <v>85</v>
      </c>
      <c r="B13" s="17">
        <f ca="1">IFERROR(__xludf.DUMMYFUNCTION("""COMPUTED_VALUE"""),2729820)</f>
        <v>2729820</v>
      </c>
      <c r="C13" s="35" t="s">
        <v>86</v>
      </c>
      <c r="D13" s="39" t="s">
        <v>89</v>
      </c>
      <c r="E13" s="22">
        <v>45815</v>
      </c>
      <c r="F13" s="17">
        <v>0</v>
      </c>
      <c r="G13" s="17">
        <v>0</v>
      </c>
      <c r="H13" s="3">
        <v>11.99</v>
      </c>
      <c r="I13" s="8">
        <v>0</v>
      </c>
      <c r="J13" s="8">
        <v>0</v>
      </c>
      <c r="K13" s="8">
        <v>11.99</v>
      </c>
      <c r="L13" s="17">
        <v>1</v>
      </c>
      <c r="M13" s="17">
        <v>1</v>
      </c>
      <c r="N13" s="3">
        <v>3</v>
      </c>
      <c r="O13" s="17">
        <v>1</v>
      </c>
      <c r="P13" s="26">
        <v>1</v>
      </c>
      <c r="Q13" s="17">
        <v>158</v>
      </c>
      <c r="R13" s="31">
        <v>81.2</v>
      </c>
      <c r="T13" s="32"/>
      <c r="U13" s="32"/>
      <c r="V13" s="32"/>
      <c r="W13" s="32"/>
      <c r="X13" s="28"/>
    </row>
    <row r="14" spans="1:26" ht="13">
      <c r="A14" s="2" t="s">
        <v>91</v>
      </c>
      <c r="B14" s="17">
        <f ca="1">IFERROR(__xludf.DUMMYFUNCTION("""COMPUTED_VALUE"""),2856370)</f>
        <v>2856370</v>
      </c>
      <c r="C14" s="35" t="s">
        <v>93</v>
      </c>
      <c r="D14" s="19" t="s">
        <v>95</v>
      </c>
      <c r="E14" s="42">
        <v>45677</v>
      </c>
      <c r="F14" s="17">
        <v>0</v>
      </c>
      <c r="G14" s="17">
        <v>0</v>
      </c>
      <c r="H14" s="43">
        <v>6.59</v>
      </c>
      <c r="I14" s="8">
        <v>0</v>
      </c>
      <c r="J14" s="8">
        <v>0</v>
      </c>
      <c r="K14" s="8">
        <v>6.59</v>
      </c>
      <c r="L14" s="17">
        <v>1</v>
      </c>
      <c r="M14" s="17">
        <v>1</v>
      </c>
      <c r="N14" s="3">
        <v>3</v>
      </c>
      <c r="O14" s="17">
        <v>1</v>
      </c>
      <c r="P14" s="26">
        <v>1</v>
      </c>
      <c r="Q14" s="17">
        <v>309</v>
      </c>
      <c r="R14" s="31">
        <v>75.680000000000007</v>
      </c>
      <c r="T14" s="32"/>
      <c r="U14" s="32"/>
      <c r="V14" s="32"/>
      <c r="W14" s="32"/>
      <c r="X14" s="28"/>
    </row>
    <row r="15" spans="1:26" ht="13">
      <c r="A15" s="2" t="s">
        <v>96</v>
      </c>
      <c r="B15" s="17">
        <f ca="1">IFERROR(__xludf.DUMMYFUNCTION("""COMPUTED_VALUE"""),3894850)</f>
        <v>3894850</v>
      </c>
      <c r="C15" s="35" t="s">
        <v>98</v>
      </c>
      <c r="D15" s="29" t="s">
        <v>100</v>
      </c>
      <c r="E15" s="42">
        <v>46228</v>
      </c>
      <c r="F15" s="17">
        <v>0</v>
      </c>
      <c r="G15" s="17">
        <v>0</v>
      </c>
      <c r="H15" s="43">
        <v>9.99</v>
      </c>
      <c r="I15" s="8">
        <v>0</v>
      </c>
      <c r="J15" s="8">
        <v>0</v>
      </c>
      <c r="K15" s="8">
        <v>9.99</v>
      </c>
      <c r="L15" s="17">
        <v>1</v>
      </c>
      <c r="M15" s="17">
        <v>1</v>
      </c>
      <c r="N15" s="3">
        <v>3</v>
      </c>
      <c r="O15" s="17">
        <v>1</v>
      </c>
      <c r="P15" s="26">
        <v>0</v>
      </c>
      <c r="Q15" s="17">
        <v>202</v>
      </c>
      <c r="R15" s="31">
        <v>70.94</v>
      </c>
      <c r="T15" s="32"/>
      <c r="U15" s="32"/>
      <c r="V15" s="32"/>
      <c r="W15" s="32"/>
      <c r="X15" s="28"/>
    </row>
    <row r="16" spans="1:26" ht="13">
      <c r="A16" s="2" t="s">
        <v>101</v>
      </c>
      <c r="B16" s="17">
        <f ca="1">IFERROR(__xludf.DUMMYFUNCTION("""COMPUTED_VALUE"""),2479290)</f>
        <v>2479290</v>
      </c>
      <c r="C16" s="35" t="s">
        <v>103</v>
      </c>
      <c r="D16" s="19" t="s">
        <v>105</v>
      </c>
      <c r="E16" s="42">
        <v>45303</v>
      </c>
      <c r="F16" s="17">
        <v>0</v>
      </c>
      <c r="G16" s="17">
        <v>0</v>
      </c>
      <c r="H16" s="43">
        <v>9.99</v>
      </c>
      <c r="I16" s="8">
        <v>0</v>
      </c>
      <c r="J16" s="8">
        <v>0</v>
      </c>
      <c r="K16" s="8">
        <v>9.99</v>
      </c>
      <c r="L16" s="17">
        <v>1</v>
      </c>
      <c r="M16" s="17">
        <v>1</v>
      </c>
      <c r="N16" s="3">
        <v>3</v>
      </c>
      <c r="O16" s="17">
        <v>1</v>
      </c>
      <c r="P16" s="26">
        <v>0</v>
      </c>
      <c r="Q16" s="17">
        <v>611</v>
      </c>
      <c r="R16" s="31">
        <v>65.040000000000006</v>
      </c>
      <c r="T16" s="32"/>
      <c r="U16" s="32"/>
      <c r="V16" s="32"/>
      <c r="W16" s="32"/>
      <c r="X16" s="28"/>
    </row>
    <row r="17" spans="1:24" ht="13">
      <c r="A17" s="2" t="s">
        <v>106</v>
      </c>
      <c r="B17" s="17">
        <f ca="1">IFERROR(__xludf.DUMMYFUNCTION("""COMPUTED_VALUE"""),3179050)</f>
        <v>3179050</v>
      </c>
      <c r="C17" s="35" t="s">
        <v>108</v>
      </c>
      <c r="D17" s="19" t="s">
        <v>110</v>
      </c>
      <c r="E17" s="42">
        <v>46092</v>
      </c>
      <c r="F17" s="17">
        <v>0</v>
      </c>
      <c r="G17" s="17">
        <v>0</v>
      </c>
      <c r="H17" s="43">
        <v>11.99</v>
      </c>
      <c r="I17" s="8">
        <v>0</v>
      </c>
      <c r="J17" s="8">
        <v>0</v>
      </c>
      <c r="K17" s="8">
        <v>11.99</v>
      </c>
      <c r="L17" s="17">
        <v>1</v>
      </c>
      <c r="M17" s="17">
        <v>1</v>
      </c>
      <c r="N17" s="3">
        <v>3</v>
      </c>
      <c r="O17" s="17">
        <v>1</v>
      </c>
      <c r="P17" s="26">
        <v>0</v>
      </c>
      <c r="Q17" s="17">
        <v>185</v>
      </c>
      <c r="R17" s="31">
        <v>81.92</v>
      </c>
    </row>
    <row r="18" spans="1:24" ht="13">
      <c r="A18" s="2" t="s">
        <v>111</v>
      </c>
      <c r="B18" s="17">
        <f ca="1">IFERROR(__xludf.DUMMYFUNCTION("""COMPUTED_VALUE"""),2342690)</f>
        <v>2342690</v>
      </c>
      <c r="C18" s="35" t="s">
        <v>113</v>
      </c>
      <c r="D18" s="19" t="s">
        <v>115</v>
      </c>
      <c r="E18" s="42">
        <v>45726</v>
      </c>
      <c r="F18" s="17">
        <v>0</v>
      </c>
      <c r="G18" s="17">
        <v>0</v>
      </c>
      <c r="H18" s="43">
        <v>12.99</v>
      </c>
      <c r="I18" s="8">
        <v>0</v>
      </c>
      <c r="J18" s="8">
        <v>0</v>
      </c>
      <c r="K18" s="8">
        <v>12.99</v>
      </c>
      <c r="L18" s="17">
        <v>1</v>
      </c>
      <c r="M18" s="17">
        <v>1</v>
      </c>
      <c r="N18" s="3">
        <v>3</v>
      </c>
      <c r="O18" s="17">
        <v>1</v>
      </c>
      <c r="P18" s="26">
        <v>1</v>
      </c>
      <c r="Q18" s="17">
        <v>166</v>
      </c>
      <c r="R18" s="31">
        <v>65.62</v>
      </c>
    </row>
    <row r="19" spans="1:24" ht="13">
      <c r="A19" s="2" t="s">
        <v>116</v>
      </c>
      <c r="B19" s="17">
        <f ca="1">IFERROR(__xludf.DUMMYFUNCTION("""COMPUTED_VALUE"""),3978250)</f>
        <v>3978250</v>
      </c>
      <c r="C19" s="35" t="s">
        <v>118</v>
      </c>
      <c r="D19" s="19" t="s">
        <v>122</v>
      </c>
      <c r="E19" s="42">
        <v>45989</v>
      </c>
      <c r="F19" s="17">
        <v>0</v>
      </c>
      <c r="G19" s="17">
        <v>0</v>
      </c>
      <c r="H19" s="43">
        <v>4.99</v>
      </c>
      <c r="I19" s="8">
        <v>0</v>
      </c>
      <c r="J19" s="8">
        <v>0</v>
      </c>
      <c r="K19" s="8">
        <v>4.99</v>
      </c>
      <c r="L19" s="17">
        <v>1</v>
      </c>
      <c r="M19" s="17">
        <v>1</v>
      </c>
      <c r="N19" s="3">
        <v>3</v>
      </c>
      <c r="O19" s="17">
        <v>1</v>
      </c>
      <c r="P19" s="26">
        <v>1</v>
      </c>
      <c r="Q19" s="17">
        <v>132</v>
      </c>
      <c r="R19" s="31">
        <v>83.27</v>
      </c>
    </row>
    <row r="20" spans="1:24" ht="13">
      <c r="A20" s="2" t="s">
        <v>120</v>
      </c>
      <c r="B20" s="17">
        <f ca="1">IFERROR(__xludf.DUMMYFUNCTION("""COMPUTED_VALUE"""),1226970)</f>
        <v>1226970</v>
      </c>
      <c r="C20" s="35" t="s">
        <v>125</v>
      </c>
      <c r="D20" s="29" t="s">
        <v>127</v>
      </c>
      <c r="E20" s="42">
        <v>45356</v>
      </c>
      <c r="F20" s="17">
        <v>0</v>
      </c>
      <c r="G20" s="17">
        <v>0</v>
      </c>
      <c r="H20" s="43">
        <v>14.99</v>
      </c>
      <c r="I20" s="8">
        <v>0</v>
      </c>
      <c r="J20" s="8">
        <v>0</v>
      </c>
      <c r="K20" s="8">
        <v>14.99</v>
      </c>
      <c r="L20" s="17">
        <v>1</v>
      </c>
      <c r="M20" s="17">
        <v>1</v>
      </c>
      <c r="N20" s="3">
        <v>3</v>
      </c>
      <c r="O20" s="17">
        <v>1</v>
      </c>
      <c r="P20" s="26">
        <v>0</v>
      </c>
      <c r="Q20" s="17">
        <v>218</v>
      </c>
      <c r="R20" s="31">
        <v>71.349999999999994</v>
      </c>
    </row>
    <row r="21" spans="1:24" ht="13">
      <c r="A21" s="2" t="s">
        <v>124</v>
      </c>
      <c r="B21" s="17">
        <f ca="1">IFERROR(__xludf.DUMMYFUNCTION("""COMPUTED_VALUE"""),2789460)</f>
        <v>2789460</v>
      </c>
      <c r="C21" s="35" t="s">
        <v>131</v>
      </c>
      <c r="D21" s="19" t="s">
        <v>133</v>
      </c>
      <c r="E21" s="42">
        <v>45917</v>
      </c>
      <c r="F21" s="17">
        <v>0</v>
      </c>
      <c r="G21" s="17">
        <v>0</v>
      </c>
      <c r="H21" s="43">
        <v>14.99</v>
      </c>
      <c r="I21" s="8">
        <v>0</v>
      </c>
      <c r="J21" s="8">
        <v>0</v>
      </c>
      <c r="K21" s="8">
        <v>14.99</v>
      </c>
      <c r="L21" s="17">
        <v>1</v>
      </c>
      <c r="M21" s="17">
        <v>1</v>
      </c>
      <c r="N21" s="3">
        <v>3</v>
      </c>
      <c r="O21" s="17">
        <v>1</v>
      </c>
      <c r="P21" s="26">
        <v>1</v>
      </c>
      <c r="Q21" s="17">
        <v>1348</v>
      </c>
      <c r="R21" s="31">
        <v>84.69</v>
      </c>
      <c r="T21" s="4"/>
      <c r="U21" s="4"/>
      <c r="V21" s="4"/>
      <c r="W21" s="4"/>
      <c r="X21" s="4"/>
    </row>
    <row r="22" spans="1:24" ht="13">
      <c r="A22" s="2" t="s">
        <v>129</v>
      </c>
      <c r="B22" s="17">
        <f ca="1">IFERROR(__xludf.DUMMYFUNCTION("""COMPUTED_VALUE"""),3299080)</f>
        <v>3299080</v>
      </c>
      <c r="C22" s="35" t="s">
        <v>136</v>
      </c>
      <c r="D22" s="39" t="s">
        <v>138</v>
      </c>
      <c r="E22" s="42">
        <v>46121</v>
      </c>
      <c r="F22" s="17">
        <v>0</v>
      </c>
      <c r="G22" s="17">
        <v>0</v>
      </c>
      <c r="H22" s="43">
        <v>12.99</v>
      </c>
      <c r="I22" s="8">
        <v>0</v>
      </c>
      <c r="J22" s="8">
        <v>0</v>
      </c>
      <c r="K22" s="8">
        <v>12.99</v>
      </c>
      <c r="L22" s="17">
        <v>1</v>
      </c>
      <c r="M22" s="17">
        <v>1</v>
      </c>
      <c r="N22" s="3">
        <v>3</v>
      </c>
      <c r="O22" s="17">
        <v>1</v>
      </c>
      <c r="P22" s="26">
        <v>1</v>
      </c>
      <c r="Q22" s="17">
        <v>112</v>
      </c>
      <c r="R22" s="31">
        <v>85.24</v>
      </c>
    </row>
    <row r="23" spans="1:24" ht="13">
      <c r="A23" s="2" t="s">
        <v>134</v>
      </c>
      <c r="B23" s="17">
        <f ca="1">IFERROR(__xludf.DUMMYFUNCTION("""COMPUTED_VALUE"""),3841970)</f>
        <v>3841970</v>
      </c>
      <c r="C23" s="35" t="s">
        <v>141</v>
      </c>
      <c r="D23" s="29" t="s">
        <v>143</v>
      </c>
      <c r="E23" s="42">
        <v>45953</v>
      </c>
      <c r="F23" s="17">
        <v>0</v>
      </c>
      <c r="G23" s="17">
        <v>0</v>
      </c>
      <c r="H23" s="43">
        <v>4.99</v>
      </c>
      <c r="I23" s="8">
        <v>0</v>
      </c>
      <c r="J23" s="8">
        <v>0</v>
      </c>
      <c r="K23" s="8">
        <v>4.99</v>
      </c>
      <c r="L23" s="17">
        <v>1</v>
      </c>
      <c r="M23" s="17">
        <v>1</v>
      </c>
      <c r="N23" s="3">
        <v>3</v>
      </c>
      <c r="O23" s="17">
        <v>1</v>
      </c>
      <c r="P23" s="26">
        <v>0</v>
      </c>
      <c r="Q23" s="17">
        <v>802</v>
      </c>
      <c r="R23" s="31">
        <v>79.930000000000007</v>
      </c>
    </row>
    <row r="24" spans="1:24" ht="13">
      <c r="A24" s="2" t="s">
        <v>139</v>
      </c>
      <c r="B24" s="17">
        <f ca="1">IFERROR(__xludf.DUMMYFUNCTION("""COMPUTED_VALUE"""),2393730)</f>
        <v>2393730</v>
      </c>
      <c r="C24" s="35" t="s">
        <v>146</v>
      </c>
      <c r="D24" s="19" t="s">
        <v>150</v>
      </c>
      <c r="E24" s="42">
        <v>46133</v>
      </c>
      <c r="F24" s="17">
        <v>0</v>
      </c>
      <c r="G24" s="17">
        <v>0</v>
      </c>
      <c r="H24" s="43">
        <v>8.99</v>
      </c>
      <c r="I24" s="8">
        <v>0</v>
      </c>
      <c r="J24" s="8">
        <v>0</v>
      </c>
      <c r="K24" s="8">
        <v>8.99</v>
      </c>
      <c r="L24" s="17">
        <v>1</v>
      </c>
      <c r="M24" s="17">
        <v>1</v>
      </c>
      <c r="N24" s="3">
        <v>3</v>
      </c>
      <c r="O24" s="17">
        <v>1</v>
      </c>
      <c r="P24" s="26">
        <v>0</v>
      </c>
      <c r="Q24" s="17">
        <v>233</v>
      </c>
      <c r="R24" s="31">
        <v>65.400000000000006</v>
      </c>
    </row>
    <row r="25" spans="1:24" ht="13">
      <c r="A25" s="2" t="s">
        <v>144</v>
      </c>
      <c r="B25" s="3">
        <f ca="1">IFERROR(__xludf.DUMMYFUNCTION("""COMPUTED_VALUE"""),3553210)</f>
        <v>3553210</v>
      </c>
      <c r="C25" s="19" t="s">
        <v>153</v>
      </c>
      <c r="D25" s="19" t="s">
        <v>156</v>
      </c>
      <c r="E25" s="22">
        <v>45800</v>
      </c>
      <c r="F25" s="17">
        <v>0</v>
      </c>
      <c r="G25" s="17">
        <v>0</v>
      </c>
      <c r="H25" s="3">
        <v>6.99</v>
      </c>
      <c r="I25" s="8">
        <v>0</v>
      </c>
      <c r="J25" s="8">
        <v>0</v>
      </c>
      <c r="K25" s="8">
        <v>6.99</v>
      </c>
      <c r="L25" s="17">
        <v>1</v>
      </c>
      <c r="M25" s="17">
        <v>1</v>
      </c>
      <c r="N25" s="3">
        <v>3</v>
      </c>
      <c r="O25" s="17">
        <v>1</v>
      </c>
      <c r="P25" s="26">
        <v>0</v>
      </c>
      <c r="Q25" s="3">
        <v>723</v>
      </c>
      <c r="R25" s="27">
        <v>86.08</v>
      </c>
    </row>
    <row r="26" spans="1:24" ht="13">
      <c r="A26" s="2" t="s">
        <v>148</v>
      </c>
      <c r="B26" s="3">
        <f ca="1">IFERROR(__xludf.DUMMYFUNCTION("""COMPUTED_VALUE"""),2216660)</f>
        <v>2216660</v>
      </c>
      <c r="C26" s="19" t="s">
        <v>159</v>
      </c>
      <c r="D26" s="39" t="s">
        <v>161</v>
      </c>
      <c r="E26" s="22">
        <v>45355</v>
      </c>
      <c r="F26" s="3">
        <v>0</v>
      </c>
      <c r="G26" s="3">
        <v>0</v>
      </c>
      <c r="H26" s="3">
        <v>11.99</v>
      </c>
      <c r="I26" s="8">
        <v>0</v>
      </c>
      <c r="J26" s="8">
        <v>0</v>
      </c>
      <c r="K26" s="8">
        <v>11.99</v>
      </c>
      <c r="L26" s="17">
        <v>1</v>
      </c>
      <c r="M26" s="17">
        <v>1</v>
      </c>
      <c r="N26" s="3">
        <v>3</v>
      </c>
      <c r="O26" s="17">
        <v>1</v>
      </c>
      <c r="P26" s="26">
        <v>0</v>
      </c>
      <c r="Q26" s="3">
        <v>306</v>
      </c>
      <c r="R26" s="27">
        <v>81.150000000000006</v>
      </c>
    </row>
    <row r="27" spans="1:24" ht="13">
      <c r="A27" s="2" t="s">
        <v>152</v>
      </c>
      <c r="B27" s="3">
        <f ca="1">IFERROR(__xludf.DUMMYFUNCTION("""COMPUTED_VALUE"""),3259470)</f>
        <v>3259470</v>
      </c>
      <c r="C27" s="19" t="s">
        <v>164</v>
      </c>
      <c r="D27" s="39" t="s">
        <v>168</v>
      </c>
      <c r="E27" s="22">
        <v>45615</v>
      </c>
      <c r="F27" s="3">
        <v>0</v>
      </c>
      <c r="G27" s="3">
        <v>0</v>
      </c>
      <c r="H27" s="3">
        <v>5.99</v>
      </c>
      <c r="I27" s="8">
        <v>0</v>
      </c>
      <c r="J27" s="8">
        <v>0</v>
      </c>
      <c r="K27" s="8">
        <v>5.99</v>
      </c>
      <c r="L27" s="17">
        <v>1</v>
      </c>
      <c r="M27" s="17">
        <v>1</v>
      </c>
      <c r="N27" s="3">
        <v>3</v>
      </c>
      <c r="O27" s="17">
        <v>1</v>
      </c>
      <c r="P27" s="26">
        <v>0</v>
      </c>
      <c r="Q27" s="3">
        <v>3696</v>
      </c>
      <c r="R27" s="27">
        <v>94.59</v>
      </c>
    </row>
    <row r="28" spans="1:24" ht="13">
      <c r="A28" s="2" t="s">
        <v>157</v>
      </c>
      <c r="B28" s="3">
        <f ca="1">IFERROR(__xludf.DUMMYFUNCTION("""COMPUTED_VALUE"""),2434600)</f>
        <v>2434600</v>
      </c>
      <c r="C28" s="19" t="s">
        <v>171</v>
      </c>
      <c r="D28" s="39" t="s">
        <v>173</v>
      </c>
      <c r="E28" s="22">
        <v>46129</v>
      </c>
      <c r="F28" s="3">
        <v>0</v>
      </c>
      <c r="G28" s="3">
        <v>0</v>
      </c>
      <c r="H28" s="3">
        <v>14.99</v>
      </c>
      <c r="I28" s="8">
        <v>0</v>
      </c>
      <c r="J28" s="8">
        <v>0</v>
      </c>
      <c r="K28" s="8">
        <v>14.99</v>
      </c>
      <c r="L28" s="17">
        <v>1</v>
      </c>
      <c r="M28" s="17">
        <v>1</v>
      </c>
      <c r="N28" s="3">
        <v>3</v>
      </c>
      <c r="O28" s="17">
        <v>1</v>
      </c>
      <c r="P28" s="26">
        <v>0</v>
      </c>
      <c r="Q28" s="3">
        <v>449</v>
      </c>
      <c r="R28" s="27">
        <v>90.55</v>
      </c>
    </row>
    <row r="29" spans="1:24" ht="13">
      <c r="A29" s="2" t="s">
        <v>162</v>
      </c>
      <c r="B29" s="45">
        <f ca="1">IFERROR(__xludf.DUMMYFUNCTION("""COMPUTED_VALUE"""),3109580)</f>
        <v>3109580</v>
      </c>
      <c r="C29" s="46" t="s">
        <v>177</v>
      </c>
      <c r="D29" s="47" t="s">
        <v>180</v>
      </c>
      <c r="E29" s="48">
        <v>45723</v>
      </c>
      <c r="F29" s="45">
        <v>0</v>
      </c>
      <c r="G29" s="45">
        <v>0</v>
      </c>
      <c r="H29" s="25">
        <v>8.99</v>
      </c>
      <c r="I29" s="8">
        <v>0</v>
      </c>
      <c r="J29" s="8">
        <v>0</v>
      </c>
      <c r="K29" s="8">
        <v>8.99</v>
      </c>
      <c r="L29" s="45">
        <v>1</v>
      </c>
      <c r="M29" s="45">
        <v>1</v>
      </c>
      <c r="N29" s="45">
        <v>1</v>
      </c>
      <c r="O29" s="45">
        <v>1</v>
      </c>
      <c r="P29" s="26">
        <v>0</v>
      </c>
      <c r="Q29" s="45">
        <v>2550</v>
      </c>
      <c r="R29" s="49">
        <v>79.09</v>
      </c>
    </row>
    <row r="30" spans="1:24" ht="13">
      <c r="A30" s="2" t="s">
        <v>166</v>
      </c>
      <c r="B30" s="45">
        <f ca="1">IFERROR(__xludf.DUMMYFUNCTION("""COMPUTED_VALUE"""),2741490)</f>
        <v>2741490</v>
      </c>
      <c r="C30" s="50" t="s">
        <v>184</v>
      </c>
      <c r="D30" s="51" t="s">
        <v>187</v>
      </c>
      <c r="E30" s="48">
        <v>45406</v>
      </c>
      <c r="F30" s="45">
        <v>0</v>
      </c>
      <c r="G30" s="45">
        <v>0</v>
      </c>
      <c r="H30" s="25">
        <v>3.99</v>
      </c>
      <c r="I30" s="8">
        <v>0</v>
      </c>
      <c r="J30" s="8">
        <v>0</v>
      </c>
      <c r="K30" s="8">
        <v>3.99</v>
      </c>
      <c r="L30" s="45">
        <v>1</v>
      </c>
      <c r="M30" s="45">
        <v>1</v>
      </c>
      <c r="N30" s="45">
        <v>1</v>
      </c>
      <c r="O30" s="45">
        <v>1</v>
      </c>
      <c r="P30" s="26">
        <v>0</v>
      </c>
      <c r="Q30" s="45">
        <v>204</v>
      </c>
      <c r="R30" s="49">
        <v>72.31</v>
      </c>
    </row>
    <row r="31" spans="1:24" ht="13">
      <c r="A31" s="2" t="s">
        <v>170</v>
      </c>
      <c r="B31" s="45">
        <f ca="1">IFERROR(__xludf.DUMMYFUNCTION("""COMPUTED_VALUE"""),2760790)</f>
        <v>2760790</v>
      </c>
      <c r="C31" s="50" t="s">
        <v>190</v>
      </c>
      <c r="D31" s="47" t="s">
        <v>194</v>
      </c>
      <c r="E31" s="48">
        <v>45870</v>
      </c>
      <c r="F31" s="45">
        <v>0</v>
      </c>
      <c r="G31" s="45">
        <v>0</v>
      </c>
      <c r="H31" s="25">
        <v>6.99</v>
      </c>
      <c r="I31" s="8">
        <v>0</v>
      </c>
      <c r="J31" s="8">
        <v>0</v>
      </c>
      <c r="K31" s="8">
        <v>6.99</v>
      </c>
      <c r="L31" s="45">
        <v>1</v>
      </c>
      <c r="M31" s="45">
        <v>1</v>
      </c>
      <c r="N31" s="45">
        <v>1</v>
      </c>
      <c r="O31" s="45">
        <v>1</v>
      </c>
      <c r="P31" s="26">
        <v>0</v>
      </c>
      <c r="Q31" s="45">
        <v>537</v>
      </c>
      <c r="R31" s="49">
        <v>69.22</v>
      </c>
    </row>
    <row r="32" spans="1:24" ht="13">
      <c r="A32" s="2" t="s">
        <v>175</v>
      </c>
      <c r="B32" s="45">
        <f ca="1">IFERROR(__xludf.DUMMYFUNCTION("""COMPUTED_VALUE"""),3464970)</f>
        <v>3464970</v>
      </c>
      <c r="C32" s="50" t="s">
        <v>197</v>
      </c>
      <c r="D32" s="47" t="s">
        <v>200</v>
      </c>
      <c r="E32" s="48">
        <v>45987</v>
      </c>
      <c r="F32" s="45">
        <v>0</v>
      </c>
      <c r="G32" s="45">
        <v>0</v>
      </c>
      <c r="H32" s="25">
        <v>9.99</v>
      </c>
      <c r="I32" s="8">
        <v>0</v>
      </c>
      <c r="J32" s="8">
        <v>0</v>
      </c>
      <c r="K32" s="8">
        <v>9.99</v>
      </c>
      <c r="L32" s="45">
        <v>1</v>
      </c>
      <c r="M32" s="45">
        <v>1</v>
      </c>
      <c r="N32" s="45">
        <v>1</v>
      </c>
      <c r="O32" s="45">
        <v>1</v>
      </c>
      <c r="P32" s="26">
        <v>0</v>
      </c>
      <c r="Q32" s="45">
        <v>294</v>
      </c>
      <c r="R32" s="49">
        <v>83.17</v>
      </c>
    </row>
    <row r="33" spans="1:18" ht="13">
      <c r="A33" s="2" t="s">
        <v>179</v>
      </c>
      <c r="B33" s="45">
        <f ca="1">IFERROR(__xludf.DUMMYFUNCTION("""COMPUTED_VALUE"""),2721890)</f>
        <v>2721890</v>
      </c>
      <c r="C33" s="47" t="s">
        <v>203</v>
      </c>
      <c r="D33" s="47" t="s">
        <v>207</v>
      </c>
      <c r="E33" s="37">
        <v>45876</v>
      </c>
      <c r="F33" s="45">
        <v>0</v>
      </c>
      <c r="G33" s="45">
        <v>0</v>
      </c>
      <c r="H33" s="25">
        <v>9.99</v>
      </c>
      <c r="I33" s="8">
        <v>0</v>
      </c>
      <c r="J33" s="8">
        <v>0</v>
      </c>
      <c r="K33" s="8">
        <v>9.99</v>
      </c>
      <c r="L33" s="45">
        <v>1</v>
      </c>
      <c r="M33" s="45">
        <v>1</v>
      </c>
      <c r="N33" s="45">
        <v>1</v>
      </c>
      <c r="O33" s="45">
        <v>1</v>
      </c>
      <c r="P33" s="26">
        <v>0</v>
      </c>
      <c r="Q33" s="45">
        <v>6764</v>
      </c>
      <c r="R33" s="49">
        <v>95.83</v>
      </c>
    </row>
    <row r="34" spans="1:18" ht="13">
      <c r="A34" s="2" t="s">
        <v>183</v>
      </c>
      <c r="B34" s="45">
        <f ca="1">IFERROR(__xludf.DUMMYFUNCTION("""COMPUTED_VALUE"""),1543710)</f>
        <v>1543710</v>
      </c>
      <c r="C34" s="50" t="s">
        <v>210</v>
      </c>
      <c r="D34" s="51" t="s">
        <v>212</v>
      </c>
      <c r="E34" s="48">
        <v>45559</v>
      </c>
      <c r="F34" s="45">
        <v>0</v>
      </c>
      <c r="G34" s="45">
        <v>0</v>
      </c>
      <c r="H34" s="25">
        <v>14.99</v>
      </c>
      <c r="I34" s="8">
        <v>0</v>
      </c>
      <c r="J34" s="8">
        <v>0</v>
      </c>
      <c r="K34" s="8">
        <v>14.99</v>
      </c>
      <c r="L34" s="45">
        <v>1</v>
      </c>
      <c r="M34" s="45">
        <v>1</v>
      </c>
      <c r="N34" s="45">
        <v>1</v>
      </c>
      <c r="O34" s="45">
        <v>1</v>
      </c>
      <c r="P34" s="26">
        <v>0</v>
      </c>
      <c r="Q34" s="45">
        <v>365</v>
      </c>
      <c r="R34" s="49">
        <v>80.62</v>
      </c>
    </row>
    <row r="35" spans="1:18" ht="13">
      <c r="A35" s="2" t="s">
        <v>188</v>
      </c>
      <c r="B35" s="45">
        <f ca="1">IFERROR(__xludf.DUMMYFUNCTION("""COMPUTED_VALUE"""),3237920)</f>
        <v>3237920</v>
      </c>
      <c r="C35" s="50" t="s">
        <v>216</v>
      </c>
      <c r="D35" s="47" t="s">
        <v>219</v>
      </c>
      <c r="E35" s="48">
        <v>45957</v>
      </c>
      <c r="F35" s="45">
        <v>0</v>
      </c>
      <c r="G35" s="45">
        <v>0</v>
      </c>
      <c r="H35" s="25">
        <v>8.98</v>
      </c>
      <c r="I35" s="37">
        <v>46027</v>
      </c>
      <c r="J35" s="8">
        <v>3</v>
      </c>
      <c r="K35" s="8">
        <v>9.99</v>
      </c>
      <c r="L35" s="45">
        <v>1</v>
      </c>
      <c r="M35" s="45">
        <v>1</v>
      </c>
      <c r="N35" s="45">
        <v>1</v>
      </c>
      <c r="O35" s="45">
        <v>1</v>
      </c>
      <c r="P35" s="26">
        <v>1</v>
      </c>
      <c r="Q35" s="45">
        <v>774</v>
      </c>
      <c r="R35" s="49">
        <v>90.35</v>
      </c>
    </row>
    <row r="36" spans="1:18" ht="13">
      <c r="A36" s="2" t="s">
        <v>192</v>
      </c>
      <c r="B36" s="45">
        <f ca="1">IFERROR(__xludf.DUMMYFUNCTION("""COMPUTED_VALUE"""),3011850)</f>
        <v>3011850</v>
      </c>
      <c r="C36" s="50" t="s">
        <v>222</v>
      </c>
      <c r="D36" s="52" t="s">
        <v>225</v>
      </c>
      <c r="E36" s="48">
        <v>45460</v>
      </c>
      <c r="F36" s="45">
        <v>0</v>
      </c>
      <c r="G36" s="45">
        <v>0</v>
      </c>
      <c r="H36" s="25">
        <v>6.99</v>
      </c>
      <c r="I36" s="8">
        <v>0</v>
      </c>
      <c r="J36" s="8">
        <v>0</v>
      </c>
      <c r="K36" s="8">
        <v>6.99</v>
      </c>
      <c r="L36" s="45">
        <v>1</v>
      </c>
      <c r="M36" s="45">
        <v>1</v>
      </c>
      <c r="N36" s="45">
        <v>1</v>
      </c>
      <c r="O36" s="45">
        <v>1</v>
      </c>
      <c r="P36" s="26">
        <v>0</v>
      </c>
      <c r="Q36" s="45">
        <v>143</v>
      </c>
      <c r="R36" s="49">
        <v>67.64</v>
      </c>
    </row>
    <row r="37" spans="1:18" ht="13">
      <c r="A37" s="2" t="s">
        <v>196</v>
      </c>
      <c r="B37" s="45">
        <f ca="1">IFERROR(__xludf.DUMMYFUNCTION("""COMPUTED_VALUE"""),2101890)</f>
        <v>2101890</v>
      </c>
      <c r="C37" s="50" t="s">
        <v>228</v>
      </c>
      <c r="D37" s="47" t="s">
        <v>231</v>
      </c>
      <c r="E37" s="48">
        <v>45357</v>
      </c>
      <c r="F37" s="45">
        <v>0</v>
      </c>
      <c r="G37" s="45">
        <v>0</v>
      </c>
      <c r="H37" s="25">
        <v>5.99</v>
      </c>
      <c r="I37" s="8">
        <v>0</v>
      </c>
      <c r="J37" s="8">
        <v>0</v>
      </c>
      <c r="K37" s="8">
        <v>5.99</v>
      </c>
      <c r="L37" s="45">
        <v>1</v>
      </c>
      <c r="M37" s="45">
        <v>1</v>
      </c>
      <c r="N37" s="45">
        <v>1</v>
      </c>
      <c r="O37" s="45">
        <v>1</v>
      </c>
      <c r="P37" s="26">
        <v>0</v>
      </c>
      <c r="Q37" s="45">
        <v>965</v>
      </c>
      <c r="R37" s="49">
        <v>74.489999999999995</v>
      </c>
    </row>
    <row r="38" spans="1:18" ht="13">
      <c r="A38" s="2" t="s">
        <v>201</v>
      </c>
      <c r="B38" s="45">
        <f ca="1">IFERROR(__xludf.DUMMYFUNCTION("""COMPUTED_VALUE"""),2850100)</f>
        <v>2850100</v>
      </c>
      <c r="C38" s="50" t="s">
        <v>234</v>
      </c>
      <c r="D38" s="47" t="s">
        <v>236</v>
      </c>
      <c r="E38" s="48">
        <v>45512</v>
      </c>
      <c r="F38" s="45">
        <v>0</v>
      </c>
      <c r="G38" s="45">
        <v>0</v>
      </c>
      <c r="H38" s="25">
        <v>9.99</v>
      </c>
      <c r="I38" s="37">
        <v>45623</v>
      </c>
      <c r="J38" s="8">
        <v>2</v>
      </c>
      <c r="K38" s="25">
        <v>4.99</v>
      </c>
      <c r="L38" s="45">
        <v>1</v>
      </c>
      <c r="M38" s="45">
        <v>1</v>
      </c>
      <c r="N38" s="45">
        <v>1</v>
      </c>
      <c r="O38" s="45">
        <v>1</v>
      </c>
      <c r="P38" s="26">
        <v>0</v>
      </c>
      <c r="Q38" s="45">
        <v>115</v>
      </c>
      <c r="R38" s="49">
        <v>69.52</v>
      </c>
    </row>
    <row r="39" spans="1:18" ht="13">
      <c r="A39" s="2" t="s">
        <v>205</v>
      </c>
      <c r="B39" s="45">
        <f ca="1">IFERROR(__xludf.DUMMYFUNCTION("""COMPUTED_VALUE"""),3480990)</f>
        <v>3480990</v>
      </c>
      <c r="C39" s="47" t="s">
        <v>239</v>
      </c>
      <c r="D39" s="47" t="s">
        <v>243</v>
      </c>
      <c r="E39" s="37">
        <v>45967</v>
      </c>
      <c r="F39" s="45">
        <v>0</v>
      </c>
      <c r="G39" s="45">
        <v>0</v>
      </c>
      <c r="H39" s="8">
        <v>8.99</v>
      </c>
      <c r="I39" s="8">
        <v>0</v>
      </c>
      <c r="J39" s="8">
        <v>0</v>
      </c>
      <c r="K39" s="8">
        <v>8.99</v>
      </c>
      <c r="L39" s="45">
        <v>1</v>
      </c>
      <c r="M39" s="45">
        <v>1</v>
      </c>
      <c r="N39" s="45">
        <v>1</v>
      </c>
      <c r="O39" s="45">
        <v>1</v>
      </c>
      <c r="P39" s="26">
        <v>0</v>
      </c>
      <c r="Q39" s="8">
        <v>1205</v>
      </c>
      <c r="R39" s="54">
        <v>88.46</v>
      </c>
    </row>
    <row r="40" spans="1:18" ht="13">
      <c r="A40" s="2" t="s">
        <v>209</v>
      </c>
      <c r="B40" s="45">
        <f ca="1">IFERROR(__xludf.DUMMYFUNCTION("""COMPUTED_VALUE"""),4303040)</f>
        <v>4303040</v>
      </c>
      <c r="C40" s="47" t="s">
        <v>247</v>
      </c>
      <c r="D40" s="52" t="s">
        <v>249</v>
      </c>
      <c r="E40" s="37">
        <v>46052</v>
      </c>
      <c r="F40" s="45">
        <v>0</v>
      </c>
      <c r="G40" s="45">
        <v>0</v>
      </c>
      <c r="H40" s="8">
        <v>4.99</v>
      </c>
      <c r="I40" s="8">
        <v>0</v>
      </c>
      <c r="J40" s="8">
        <v>0</v>
      </c>
      <c r="K40" s="8">
        <v>4.99</v>
      </c>
      <c r="L40" s="45">
        <v>1</v>
      </c>
      <c r="M40" s="45">
        <v>1</v>
      </c>
      <c r="N40" s="45">
        <v>1</v>
      </c>
      <c r="O40" s="45">
        <v>1</v>
      </c>
      <c r="P40" s="26">
        <v>0</v>
      </c>
      <c r="Q40" s="8">
        <v>866</v>
      </c>
      <c r="R40" s="54">
        <v>81.23</v>
      </c>
    </row>
    <row r="41" spans="1:18" ht="13">
      <c r="A41" s="2" t="s">
        <v>214</v>
      </c>
      <c r="B41" s="8">
        <f ca="1">IFERROR(__xludf.DUMMYFUNCTION("""COMPUTED_VALUE"""),1679510)</f>
        <v>1679510</v>
      </c>
      <c r="C41" s="47" t="s">
        <v>251</v>
      </c>
      <c r="D41" s="47" t="s">
        <v>253</v>
      </c>
      <c r="E41" s="37">
        <v>45418</v>
      </c>
      <c r="F41" s="45">
        <v>0</v>
      </c>
      <c r="G41" s="45">
        <v>0</v>
      </c>
      <c r="H41" s="8">
        <v>11.99</v>
      </c>
      <c r="I41" s="8">
        <v>0</v>
      </c>
      <c r="J41" s="8">
        <v>0</v>
      </c>
      <c r="K41" s="8">
        <v>11.99</v>
      </c>
      <c r="L41" s="45">
        <v>1</v>
      </c>
      <c r="M41" s="45">
        <v>1</v>
      </c>
      <c r="N41" s="45">
        <v>1</v>
      </c>
      <c r="O41" s="45">
        <v>1</v>
      </c>
      <c r="P41" s="26">
        <v>0</v>
      </c>
      <c r="Q41" s="8">
        <v>386</v>
      </c>
      <c r="R41" s="54">
        <v>88.66</v>
      </c>
    </row>
    <row r="42" spans="1:18" ht="13">
      <c r="A42" s="2" t="s">
        <v>218</v>
      </c>
      <c r="B42" s="56">
        <f ca="1">IFERROR(__xludf.DUMMYFUNCTION("""COMPUTED_VALUE"""),2793370)</f>
        <v>2793370</v>
      </c>
      <c r="C42" s="57" t="s">
        <v>257</v>
      </c>
      <c r="D42" s="58" t="s">
        <v>259</v>
      </c>
      <c r="E42" s="59">
        <v>45374</v>
      </c>
      <c r="F42" s="56">
        <v>0</v>
      </c>
      <c r="G42" s="56">
        <v>0</v>
      </c>
      <c r="H42" s="60">
        <v>6.99</v>
      </c>
      <c r="I42" s="8">
        <v>0</v>
      </c>
      <c r="J42" s="8">
        <v>0</v>
      </c>
      <c r="K42" s="8">
        <v>6.99</v>
      </c>
      <c r="L42" s="56">
        <v>1</v>
      </c>
      <c r="M42" s="56">
        <v>1</v>
      </c>
      <c r="N42" s="12">
        <v>4</v>
      </c>
      <c r="O42" s="56">
        <v>1</v>
      </c>
      <c r="P42" s="26">
        <v>0</v>
      </c>
      <c r="Q42" s="56">
        <v>1133</v>
      </c>
      <c r="R42" s="61">
        <v>81.400000000000006</v>
      </c>
    </row>
    <row r="43" spans="1:18" ht="13">
      <c r="A43" s="2" t="s">
        <v>223</v>
      </c>
      <c r="B43" s="56">
        <f ca="1">IFERROR(__xludf.DUMMYFUNCTION("""COMPUTED_VALUE"""),4277790)</f>
        <v>4277790</v>
      </c>
      <c r="C43" s="57" t="s">
        <v>263</v>
      </c>
      <c r="D43" s="57" t="s">
        <v>267</v>
      </c>
      <c r="E43" s="59">
        <v>46072</v>
      </c>
      <c r="F43" s="56">
        <v>0</v>
      </c>
      <c r="G43" s="56">
        <v>0</v>
      </c>
      <c r="H43" s="60">
        <v>7.99</v>
      </c>
      <c r="I43" s="8">
        <v>0</v>
      </c>
      <c r="J43" s="8">
        <v>0</v>
      </c>
      <c r="K43" s="8">
        <v>7.99</v>
      </c>
      <c r="L43" s="56">
        <v>1</v>
      </c>
      <c r="M43" s="56">
        <v>1</v>
      </c>
      <c r="N43" s="12">
        <v>4</v>
      </c>
      <c r="O43" s="56">
        <v>1</v>
      </c>
      <c r="P43" s="26">
        <v>0</v>
      </c>
      <c r="Q43" s="56">
        <v>112</v>
      </c>
      <c r="R43" s="61">
        <v>73.72</v>
      </c>
    </row>
    <row r="44" spans="1:18" ht="13">
      <c r="A44" s="2" t="s">
        <v>227</v>
      </c>
      <c r="B44" s="56">
        <f ca="1">IFERROR(__xludf.DUMMYFUNCTION("""COMPUTED_VALUE"""),2379780)</f>
        <v>2379780</v>
      </c>
      <c r="C44" s="57" t="s">
        <v>270</v>
      </c>
      <c r="D44" s="57" t="s">
        <v>274</v>
      </c>
      <c r="E44" s="59">
        <v>45342</v>
      </c>
      <c r="F44" s="56">
        <v>0</v>
      </c>
      <c r="G44" s="56">
        <v>0</v>
      </c>
      <c r="H44" s="60">
        <v>14.99</v>
      </c>
      <c r="I44" s="8">
        <v>0</v>
      </c>
      <c r="J44" s="8">
        <v>0</v>
      </c>
      <c r="K44" s="8">
        <v>14.99</v>
      </c>
      <c r="L44" s="56">
        <v>1</v>
      </c>
      <c r="M44" s="56">
        <v>1</v>
      </c>
      <c r="N44" s="12">
        <v>4</v>
      </c>
      <c r="O44" s="56">
        <v>1</v>
      </c>
      <c r="P44" s="26">
        <v>0</v>
      </c>
      <c r="Q44" s="56">
        <v>196983</v>
      </c>
      <c r="R44" s="61">
        <v>96.62</v>
      </c>
    </row>
    <row r="45" spans="1:18" ht="13">
      <c r="A45" s="2" t="s">
        <v>232</v>
      </c>
      <c r="B45" s="56">
        <f ca="1">IFERROR(__xludf.DUMMYFUNCTION("""COMPUTED_VALUE"""),4530880)</f>
        <v>4530880</v>
      </c>
      <c r="C45" s="62" t="s">
        <v>277</v>
      </c>
      <c r="D45" s="57" t="s">
        <v>280</v>
      </c>
      <c r="E45" s="59">
        <v>46141</v>
      </c>
      <c r="F45" s="56">
        <v>0</v>
      </c>
      <c r="G45" s="56">
        <v>0</v>
      </c>
      <c r="H45" s="60">
        <v>7.5</v>
      </c>
      <c r="I45" s="8">
        <v>0</v>
      </c>
      <c r="J45" s="8">
        <v>0</v>
      </c>
      <c r="K45" s="8">
        <v>7.5</v>
      </c>
      <c r="L45" s="56">
        <v>1</v>
      </c>
      <c r="M45" s="56">
        <v>1</v>
      </c>
      <c r="N45" s="12">
        <v>4</v>
      </c>
      <c r="O45" s="56">
        <v>1</v>
      </c>
      <c r="P45" s="26">
        <v>0</v>
      </c>
      <c r="Q45" s="56">
        <v>115</v>
      </c>
      <c r="R45" s="61">
        <v>83.41</v>
      </c>
    </row>
    <row r="46" spans="1:18" ht="13">
      <c r="A46" s="2" t="s">
        <v>237</v>
      </c>
      <c r="B46" s="56">
        <f ca="1">IFERROR(__xludf.DUMMYFUNCTION("""COMPUTED_VALUE"""),3929760)</f>
        <v>3929760</v>
      </c>
      <c r="C46" s="62" t="s">
        <v>283</v>
      </c>
      <c r="D46" s="57" t="s">
        <v>287</v>
      </c>
      <c r="E46" s="59">
        <v>45988</v>
      </c>
      <c r="F46" s="56">
        <v>0</v>
      </c>
      <c r="G46" s="56">
        <v>0</v>
      </c>
      <c r="H46" s="60">
        <v>2.99</v>
      </c>
      <c r="I46" s="8">
        <v>0</v>
      </c>
      <c r="J46" s="8">
        <v>0</v>
      </c>
      <c r="K46" s="8">
        <v>2.99</v>
      </c>
      <c r="L46" s="56">
        <v>1</v>
      </c>
      <c r="M46" s="56">
        <v>1</v>
      </c>
      <c r="N46" s="12">
        <v>4</v>
      </c>
      <c r="O46" s="56">
        <v>1</v>
      </c>
      <c r="P46" s="26">
        <v>0</v>
      </c>
      <c r="Q46" s="56">
        <v>2375</v>
      </c>
      <c r="R46" s="61">
        <v>82.28</v>
      </c>
    </row>
    <row r="47" spans="1:18" ht="13">
      <c r="A47" s="2" t="s">
        <v>241</v>
      </c>
      <c r="B47" s="56">
        <f ca="1">IFERROR(__xludf.DUMMYFUNCTION("""COMPUTED_VALUE"""),3694480)</f>
        <v>3694480</v>
      </c>
      <c r="C47" s="62" t="s">
        <v>290</v>
      </c>
      <c r="D47" s="58" t="s">
        <v>292</v>
      </c>
      <c r="E47" s="59">
        <v>46006</v>
      </c>
      <c r="F47" s="56">
        <v>0</v>
      </c>
      <c r="G47" s="56">
        <v>0</v>
      </c>
      <c r="H47" s="60">
        <v>6.99</v>
      </c>
      <c r="I47" s="8">
        <v>0</v>
      </c>
      <c r="J47" s="8">
        <v>0</v>
      </c>
      <c r="K47" s="8">
        <v>6.99</v>
      </c>
      <c r="L47" s="56">
        <v>1</v>
      </c>
      <c r="M47" s="56">
        <v>1</v>
      </c>
      <c r="N47" s="12">
        <v>4</v>
      </c>
      <c r="O47" s="56">
        <v>1</v>
      </c>
      <c r="P47" s="26">
        <v>0</v>
      </c>
      <c r="Q47" s="56">
        <v>3310</v>
      </c>
      <c r="R47" s="61">
        <v>85.38</v>
      </c>
    </row>
    <row r="48" spans="1:18" ht="13">
      <c r="A48" s="2" t="s">
        <v>245</v>
      </c>
      <c r="B48" s="56">
        <f ca="1">IFERROR(__xludf.DUMMYFUNCTION("""COMPUTED_VALUE"""),4276980)</f>
        <v>4276980</v>
      </c>
      <c r="C48" s="63" t="s">
        <v>294</v>
      </c>
      <c r="D48" s="57" t="s">
        <v>297</v>
      </c>
      <c r="E48" s="59">
        <v>46094</v>
      </c>
      <c r="F48" s="56">
        <v>0</v>
      </c>
      <c r="G48" s="56">
        <v>0</v>
      </c>
      <c r="H48" s="60">
        <v>4.99</v>
      </c>
      <c r="I48" s="8">
        <v>0</v>
      </c>
      <c r="J48" s="8">
        <v>0</v>
      </c>
      <c r="K48" s="8">
        <v>4.99</v>
      </c>
      <c r="L48" s="56">
        <v>1</v>
      </c>
      <c r="M48" s="56">
        <v>1</v>
      </c>
      <c r="N48" s="12">
        <v>4</v>
      </c>
      <c r="O48" s="56">
        <v>1</v>
      </c>
      <c r="P48" s="26">
        <v>0</v>
      </c>
      <c r="Q48" s="56">
        <v>441</v>
      </c>
      <c r="R48" s="61">
        <v>80.010000000000005</v>
      </c>
    </row>
    <row r="49" spans="1:18" ht="13">
      <c r="A49" s="2" t="s">
        <v>250</v>
      </c>
      <c r="B49" s="56">
        <f ca="1">IFERROR(__xludf.DUMMYFUNCTION("""COMPUTED_VALUE"""),3411050)</f>
        <v>3411050</v>
      </c>
      <c r="C49" s="62" t="s">
        <v>301</v>
      </c>
      <c r="D49" s="57" t="s">
        <v>303</v>
      </c>
      <c r="E49" s="59">
        <v>45730</v>
      </c>
      <c r="F49" s="56">
        <v>0</v>
      </c>
      <c r="G49" s="56">
        <v>0</v>
      </c>
      <c r="H49" s="60">
        <v>7.99</v>
      </c>
      <c r="I49" s="8">
        <v>0</v>
      </c>
      <c r="J49" s="8">
        <v>0</v>
      </c>
      <c r="K49" s="8">
        <v>7.99</v>
      </c>
      <c r="L49" s="56">
        <v>1</v>
      </c>
      <c r="M49" s="56">
        <v>1</v>
      </c>
      <c r="N49" s="12">
        <v>4</v>
      </c>
      <c r="O49" s="56">
        <v>1</v>
      </c>
      <c r="P49" s="26">
        <v>0</v>
      </c>
      <c r="Q49" s="56">
        <v>132</v>
      </c>
      <c r="R49" s="61">
        <v>65.180000000000007</v>
      </c>
    </row>
    <row r="50" spans="1:18" ht="13">
      <c r="A50" s="2" t="s">
        <v>255</v>
      </c>
      <c r="B50" s="12">
        <f ca="1">IFERROR(__xludf.DUMMYFUNCTION("""COMPUTED_VALUE"""),2097030)</f>
        <v>2097030</v>
      </c>
      <c r="C50" s="57" t="s">
        <v>306</v>
      </c>
      <c r="D50" s="58" t="s">
        <v>308</v>
      </c>
      <c r="E50" s="71">
        <v>45406</v>
      </c>
      <c r="F50" s="12">
        <v>0</v>
      </c>
      <c r="G50" s="12">
        <v>0</v>
      </c>
      <c r="H50" s="12">
        <v>14.99</v>
      </c>
      <c r="I50" s="8">
        <v>0</v>
      </c>
      <c r="J50" s="8">
        <v>0</v>
      </c>
      <c r="K50" s="8">
        <v>14.99</v>
      </c>
      <c r="L50" s="56">
        <v>1</v>
      </c>
      <c r="M50" s="56">
        <v>1</v>
      </c>
      <c r="N50" s="12">
        <v>4</v>
      </c>
      <c r="O50" s="56">
        <v>1</v>
      </c>
      <c r="P50" s="26">
        <v>1</v>
      </c>
      <c r="Q50" s="12">
        <v>359</v>
      </c>
      <c r="R50" s="73">
        <v>75.55</v>
      </c>
    </row>
    <row r="51" spans="1:18" ht="13">
      <c r="A51" s="2" t="s">
        <v>260</v>
      </c>
      <c r="B51" s="12">
        <f ca="1">IFERROR(__xludf.DUMMYFUNCTION("""COMPUTED_VALUE"""),4563880)</f>
        <v>4563880</v>
      </c>
      <c r="C51" s="57" t="s">
        <v>311</v>
      </c>
      <c r="D51" s="58" t="s">
        <v>313</v>
      </c>
      <c r="E51" s="71">
        <v>46221</v>
      </c>
      <c r="F51" s="12">
        <v>0</v>
      </c>
      <c r="G51" s="12">
        <v>0</v>
      </c>
      <c r="H51" s="12">
        <v>1.99</v>
      </c>
      <c r="I51" s="8">
        <v>0</v>
      </c>
      <c r="J51" s="8">
        <v>0</v>
      </c>
      <c r="K51" s="8">
        <v>1.99</v>
      </c>
      <c r="L51" s="56">
        <v>1</v>
      </c>
      <c r="M51" s="56">
        <v>1</v>
      </c>
      <c r="N51" s="12">
        <v>4</v>
      </c>
      <c r="O51" s="56">
        <v>1</v>
      </c>
      <c r="P51" s="26">
        <v>0</v>
      </c>
      <c r="Q51" s="12">
        <v>266</v>
      </c>
      <c r="R51" s="73">
        <v>90.7</v>
      </c>
    </row>
    <row r="52" spans="1:18" ht="13">
      <c r="A52" s="2" t="s">
        <v>264</v>
      </c>
      <c r="B52" s="74">
        <f ca="1">IFERROR(__xludf.DUMMYFUNCTION("""COMPUTED_VALUE"""),3232040)</f>
        <v>3232040</v>
      </c>
      <c r="C52" s="75" t="s">
        <v>317</v>
      </c>
      <c r="D52" s="76" t="s">
        <v>320</v>
      </c>
      <c r="E52" s="77">
        <v>45765</v>
      </c>
      <c r="F52" s="74">
        <v>0</v>
      </c>
      <c r="G52" s="74">
        <v>0</v>
      </c>
      <c r="H52" s="78">
        <v>6.99</v>
      </c>
      <c r="I52" s="8">
        <v>0</v>
      </c>
      <c r="J52" s="8">
        <v>0</v>
      </c>
      <c r="K52" s="8">
        <v>6.99</v>
      </c>
      <c r="L52" s="74">
        <v>1</v>
      </c>
      <c r="M52" s="74">
        <v>1</v>
      </c>
      <c r="N52" s="74">
        <v>1</v>
      </c>
      <c r="O52" s="74">
        <v>2</v>
      </c>
      <c r="P52" s="26">
        <v>1</v>
      </c>
      <c r="Q52" s="74">
        <v>663</v>
      </c>
      <c r="R52" s="79">
        <v>63.66</v>
      </c>
    </row>
    <row r="53" spans="1:18" ht="13">
      <c r="A53" s="2" t="s">
        <v>268</v>
      </c>
      <c r="B53" s="74">
        <f ca="1">IFERROR(__xludf.DUMMYFUNCTION("""COMPUTED_VALUE"""),3257310)</f>
        <v>3257310</v>
      </c>
      <c r="C53" s="75" t="s">
        <v>324</v>
      </c>
      <c r="D53" s="76" t="s">
        <v>326</v>
      </c>
      <c r="E53" s="77">
        <v>45826</v>
      </c>
      <c r="F53" s="74">
        <v>0</v>
      </c>
      <c r="G53" s="74">
        <v>0</v>
      </c>
      <c r="H53" s="80">
        <v>7.99</v>
      </c>
      <c r="I53" s="8">
        <v>0</v>
      </c>
      <c r="J53" s="8">
        <v>0</v>
      </c>
      <c r="K53" s="8">
        <v>7.99</v>
      </c>
      <c r="L53" s="74">
        <v>1</v>
      </c>
      <c r="M53" s="74">
        <v>1</v>
      </c>
      <c r="N53" s="74">
        <v>1</v>
      </c>
      <c r="O53" s="74">
        <v>2</v>
      </c>
      <c r="P53" s="26">
        <v>0</v>
      </c>
      <c r="Q53" s="74">
        <v>105</v>
      </c>
      <c r="R53" s="79">
        <v>87</v>
      </c>
    </row>
    <row r="54" spans="1:18" ht="13">
      <c r="A54" s="2" t="s">
        <v>272</v>
      </c>
      <c r="B54" s="74">
        <f ca="1">IFERROR(__xludf.DUMMYFUNCTION("""COMPUTED_VALUE"""),1817500)</f>
        <v>1817500</v>
      </c>
      <c r="C54" s="75" t="s">
        <v>330</v>
      </c>
      <c r="D54" s="81" t="s">
        <v>333</v>
      </c>
      <c r="E54" s="77">
        <v>45985</v>
      </c>
      <c r="F54" s="74">
        <v>0</v>
      </c>
      <c r="G54" s="74">
        <v>0</v>
      </c>
      <c r="H54" s="78">
        <v>5.99</v>
      </c>
      <c r="I54" s="8">
        <v>0</v>
      </c>
      <c r="J54" s="8">
        <v>0</v>
      </c>
      <c r="K54" s="8">
        <v>5.99</v>
      </c>
      <c r="L54" s="74">
        <v>1</v>
      </c>
      <c r="M54" s="74">
        <v>1</v>
      </c>
      <c r="N54" s="74">
        <v>1</v>
      </c>
      <c r="O54" s="74">
        <v>2</v>
      </c>
      <c r="P54" s="26">
        <v>0</v>
      </c>
      <c r="Q54" s="74">
        <v>760</v>
      </c>
      <c r="R54" s="79">
        <v>87.53</v>
      </c>
    </row>
    <row r="55" spans="1:18" ht="13">
      <c r="A55" s="2" t="s">
        <v>276</v>
      </c>
      <c r="B55" s="74">
        <f ca="1">IFERROR(__xludf.DUMMYFUNCTION("""COMPUTED_VALUE"""),2085540)</f>
        <v>2085540</v>
      </c>
      <c r="C55" s="75" t="s">
        <v>337</v>
      </c>
      <c r="D55" s="82" t="s">
        <v>339</v>
      </c>
      <c r="E55" s="77">
        <v>45887</v>
      </c>
      <c r="F55" s="74">
        <v>0</v>
      </c>
      <c r="G55" s="74">
        <v>0</v>
      </c>
      <c r="H55" s="80">
        <v>4.99</v>
      </c>
      <c r="I55" s="37">
        <v>46069</v>
      </c>
      <c r="J55" s="8">
        <v>2</v>
      </c>
      <c r="K55" s="8">
        <v>11.99</v>
      </c>
      <c r="L55" s="74">
        <v>1</v>
      </c>
      <c r="M55" s="74">
        <v>1</v>
      </c>
      <c r="N55" s="74">
        <v>1</v>
      </c>
      <c r="O55" s="74">
        <v>2</v>
      </c>
      <c r="P55" s="26">
        <v>1</v>
      </c>
      <c r="Q55" s="74">
        <v>8203</v>
      </c>
      <c r="R55" s="79">
        <v>93.58</v>
      </c>
    </row>
    <row r="56" spans="1:18" ht="13">
      <c r="A56" s="2" t="s">
        <v>281</v>
      </c>
      <c r="B56" s="74">
        <f ca="1">IFERROR(__xludf.DUMMYFUNCTION("""COMPUTED_VALUE"""),3119720)</f>
        <v>3119720</v>
      </c>
      <c r="C56" s="75" t="s">
        <v>341</v>
      </c>
      <c r="D56" s="83" t="s">
        <v>343</v>
      </c>
      <c r="E56" s="77">
        <v>45513</v>
      </c>
      <c r="F56" s="74">
        <v>0</v>
      </c>
      <c r="G56" s="74">
        <v>0</v>
      </c>
      <c r="H56" s="80">
        <v>0.99</v>
      </c>
      <c r="I56" s="37">
        <v>45703</v>
      </c>
      <c r="J56" s="8">
        <v>1</v>
      </c>
      <c r="K56" s="8">
        <v>4.99</v>
      </c>
      <c r="L56" s="74">
        <v>1</v>
      </c>
      <c r="M56" s="74">
        <v>1</v>
      </c>
      <c r="N56" s="74">
        <v>1</v>
      </c>
      <c r="O56" s="74">
        <v>2</v>
      </c>
      <c r="P56" s="26">
        <v>0</v>
      </c>
      <c r="Q56" s="74">
        <v>193</v>
      </c>
      <c r="R56" s="79">
        <v>72.459999999999994</v>
      </c>
    </row>
    <row r="57" spans="1:18" ht="13">
      <c r="A57" s="2" t="s">
        <v>285</v>
      </c>
      <c r="B57" s="74">
        <f ca="1">IFERROR(__xludf.DUMMYFUNCTION("""COMPUTED_VALUE"""),1805320)</f>
        <v>1805320</v>
      </c>
      <c r="C57" s="75" t="s">
        <v>347</v>
      </c>
      <c r="D57" s="81" t="s">
        <v>349</v>
      </c>
      <c r="E57" s="77">
        <v>46168</v>
      </c>
      <c r="F57" s="74">
        <v>0</v>
      </c>
      <c r="G57" s="74">
        <v>0</v>
      </c>
      <c r="H57" s="78">
        <v>13.99</v>
      </c>
      <c r="I57" s="8">
        <v>0</v>
      </c>
      <c r="J57" s="8">
        <v>0</v>
      </c>
      <c r="K57" s="8">
        <v>13.99</v>
      </c>
      <c r="L57" s="74">
        <v>1</v>
      </c>
      <c r="M57" s="74">
        <v>1</v>
      </c>
      <c r="N57" s="74">
        <v>1</v>
      </c>
      <c r="O57" s="74">
        <v>2</v>
      </c>
      <c r="P57" s="26">
        <v>1</v>
      </c>
      <c r="Q57" s="74">
        <v>4778</v>
      </c>
      <c r="R57" s="79">
        <v>74.41</v>
      </c>
    </row>
    <row r="58" spans="1:18" ht="13">
      <c r="A58" s="2" t="s">
        <v>289</v>
      </c>
      <c r="B58" s="82">
        <f ca="1">IFERROR(__xludf.DUMMYFUNCTION("""COMPUTED_VALUE"""),2684370)</f>
        <v>2684370</v>
      </c>
      <c r="C58" s="76" t="s">
        <v>352</v>
      </c>
      <c r="D58" s="76" t="s">
        <v>354</v>
      </c>
      <c r="E58" s="85">
        <v>45774</v>
      </c>
      <c r="F58" s="82">
        <v>0</v>
      </c>
      <c r="G58" s="82">
        <v>0</v>
      </c>
      <c r="H58" s="82">
        <v>0.99</v>
      </c>
      <c r="I58" s="37">
        <v>45863</v>
      </c>
      <c r="J58" s="8">
        <v>5</v>
      </c>
      <c r="K58" s="8">
        <v>9.99</v>
      </c>
      <c r="L58" s="74">
        <v>1</v>
      </c>
      <c r="M58" s="74">
        <v>1</v>
      </c>
      <c r="N58" s="74">
        <v>1</v>
      </c>
      <c r="O58" s="74">
        <v>2</v>
      </c>
      <c r="P58" s="26">
        <v>1</v>
      </c>
      <c r="Q58" s="82">
        <v>171</v>
      </c>
      <c r="R58" s="86">
        <v>59.44</v>
      </c>
    </row>
    <row r="59" spans="1:18" ht="13">
      <c r="A59" s="2" t="s">
        <v>295</v>
      </c>
      <c r="B59" s="87">
        <f ca="1">IFERROR(__xludf.DUMMYFUNCTION("""COMPUTED_VALUE"""),3089130)</f>
        <v>3089130</v>
      </c>
      <c r="C59" s="88" t="s">
        <v>357</v>
      </c>
      <c r="D59" s="89" t="s">
        <v>359</v>
      </c>
      <c r="E59" s="90">
        <v>45510</v>
      </c>
      <c r="F59" s="87">
        <v>0</v>
      </c>
      <c r="G59" s="87">
        <v>0</v>
      </c>
      <c r="H59" s="91">
        <v>11.99</v>
      </c>
      <c r="I59" s="8">
        <v>0</v>
      </c>
      <c r="J59" s="8">
        <v>0</v>
      </c>
      <c r="K59" s="8">
        <v>11.99</v>
      </c>
      <c r="L59" s="87">
        <v>1</v>
      </c>
      <c r="M59" s="87">
        <v>1</v>
      </c>
      <c r="N59" s="87">
        <v>3</v>
      </c>
      <c r="O59" s="87">
        <v>2</v>
      </c>
      <c r="P59" s="26">
        <v>0</v>
      </c>
      <c r="Q59" s="87">
        <v>738</v>
      </c>
      <c r="R59" s="92">
        <v>85.08</v>
      </c>
    </row>
    <row r="60" spans="1:18" ht="13">
      <c r="A60" s="2" t="s">
        <v>299</v>
      </c>
      <c r="B60" s="87">
        <f ca="1">IFERROR(__xludf.DUMMYFUNCTION("""COMPUTED_VALUE"""),2897240)</f>
        <v>2897240</v>
      </c>
      <c r="C60" s="88" t="s">
        <v>363</v>
      </c>
      <c r="D60" s="89" t="s">
        <v>366</v>
      </c>
      <c r="E60" s="90">
        <v>45539</v>
      </c>
      <c r="F60" s="87">
        <v>0</v>
      </c>
      <c r="G60" s="87">
        <v>0</v>
      </c>
      <c r="H60" s="91">
        <v>11.99</v>
      </c>
      <c r="I60" s="8">
        <v>0</v>
      </c>
      <c r="J60" s="8">
        <v>0</v>
      </c>
      <c r="K60" s="8">
        <v>11.99</v>
      </c>
      <c r="L60" s="87">
        <v>1</v>
      </c>
      <c r="M60" s="87">
        <v>1</v>
      </c>
      <c r="N60" s="87">
        <v>3</v>
      </c>
      <c r="O60" s="87">
        <v>2</v>
      </c>
      <c r="P60" s="26">
        <v>0</v>
      </c>
      <c r="Q60" s="87">
        <v>353</v>
      </c>
      <c r="R60" s="92">
        <v>87.23</v>
      </c>
    </row>
    <row r="61" spans="1:18" ht="13">
      <c r="A61" s="2" t="s">
        <v>304</v>
      </c>
      <c r="B61" s="87">
        <f ca="1">IFERROR(__xludf.DUMMYFUNCTION("""COMPUTED_VALUE"""),2289650)</f>
        <v>2289650</v>
      </c>
      <c r="C61" s="88" t="s">
        <v>370</v>
      </c>
      <c r="D61" s="89" t="s">
        <v>372</v>
      </c>
      <c r="E61" s="90">
        <v>45504</v>
      </c>
      <c r="F61" s="87">
        <v>0</v>
      </c>
      <c r="G61" s="87">
        <v>0</v>
      </c>
      <c r="H61" s="91">
        <v>9.99</v>
      </c>
      <c r="I61" s="8">
        <v>0</v>
      </c>
      <c r="J61" s="8">
        <v>0</v>
      </c>
      <c r="K61" s="8">
        <v>9.99</v>
      </c>
      <c r="L61" s="87">
        <v>1</v>
      </c>
      <c r="M61" s="87">
        <v>1</v>
      </c>
      <c r="N61" s="87">
        <v>3</v>
      </c>
      <c r="O61" s="87">
        <v>2</v>
      </c>
      <c r="P61" s="26">
        <v>0</v>
      </c>
      <c r="Q61" s="87">
        <v>1571</v>
      </c>
      <c r="R61" s="92">
        <v>87.74</v>
      </c>
    </row>
    <row r="62" spans="1:18" ht="13">
      <c r="A62" s="2" t="s">
        <v>309</v>
      </c>
      <c r="B62" s="87">
        <f ca="1">IFERROR(__xludf.DUMMYFUNCTION("""COMPUTED_VALUE"""),3558400)</f>
        <v>3558400</v>
      </c>
      <c r="C62" s="93" t="s">
        <v>375</v>
      </c>
      <c r="D62" s="93" t="s">
        <v>379</v>
      </c>
      <c r="E62" s="94">
        <v>45939</v>
      </c>
      <c r="F62" s="87">
        <v>0</v>
      </c>
      <c r="G62" s="87">
        <v>0</v>
      </c>
      <c r="H62" s="91">
        <v>9.99</v>
      </c>
      <c r="I62" s="8">
        <v>0</v>
      </c>
      <c r="J62" s="8">
        <v>0</v>
      </c>
      <c r="K62" s="8">
        <v>9.99</v>
      </c>
      <c r="L62" s="87">
        <v>1</v>
      </c>
      <c r="M62" s="87">
        <v>1</v>
      </c>
      <c r="N62" s="87">
        <v>3</v>
      </c>
      <c r="O62" s="87">
        <v>2</v>
      </c>
      <c r="P62" s="26">
        <v>0</v>
      </c>
      <c r="Q62" s="87">
        <v>1190</v>
      </c>
      <c r="R62" s="92">
        <v>74.739999999999995</v>
      </c>
    </row>
    <row r="63" spans="1:18" ht="13">
      <c r="A63" s="2" t="s">
        <v>314</v>
      </c>
      <c r="B63" s="87">
        <f ca="1">IFERROR(__xludf.DUMMYFUNCTION("""COMPUTED_VALUE"""),4019090)</f>
        <v>4019090</v>
      </c>
      <c r="C63" s="88" t="s">
        <v>382</v>
      </c>
      <c r="D63" s="95" t="s">
        <v>384</v>
      </c>
      <c r="E63" s="90">
        <v>46084</v>
      </c>
      <c r="F63" s="87">
        <v>0</v>
      </c>
      <c r="G63" s="87">
        <v>0</v>
      </c>
      <c r="H63" s="91">
        <v>7.99</v>
      </c>
      <c r="I63" s="8">
        <v>0</v>
      </c>
      <c r="J63" s="8">
        <v>0</v>
      </c>
      <c r="K63" s="8">
        <v>7.99</v>
      </c>
      <c r="L63" s="87">
        <v>1</v>
      </c>
      <c r="M63" s="87">
        <v>1</v>
      </c>
      <c r="N63" s="87">
        <v>3</v>
      </c>
      <c r="O63" s="87">
        <v>2</v>
      </c>
      <c r="P63" s="26">
        <v>0</v>
      </c>
      <c r="Q63" s="87">
        <v>153</v>
      </c>
      <c r="R63" s="92">
        <v>73.209999999999994</v>
      </c>
    </row>
    <row r="64" spans="1:18" ht="13">
      <c r="A64" s="2" t="s">
        <v>318</v>
      </c>
      <c r="B64" s="87">
        <f ca="1">IFERROR(__xludf.DUMMYFUNCTION("""COMPUTED_VALUE"""),4037180)</f>
        <v>4037180</v>
      </c>
      <c r="C64" s="88" t="s">
        <v>388</v>
      </c>
      <c r="D64" s="95" t="s">
        <v>390</v>
      </c>
      <c r="E64" s="90">
        <v>46071</v>
      </c>
      <c r="F64" s="87">
        <v>0</v>
      </c>
      <c r="G64" s="87">
        <v>0</v>
      </c>
      <c r="H64" s="91">
        <v>9.99</v>
      </c>
      <c r="I64" s="8">
        <v>0</v>
      </c>
      <c r="J64" s="8">
        <v>0</v>
      </c>
      <c r="K64" s="8">
        <v>9.99</v>
      </c>
      <c r="L64" s="87">
        <v>1</v>
      </c>
      <c r="M64" s="87">
        <v>1</v>
      </c>
      <c r="N64" s="87">
        <v>3</v>
      </c>
      <c r="O64" s="87">
        <v>2</v>
      </c>
      <c r="P64" s="26">
        <v>0</v>
      </c>
      <c r="Q64" s="87">
        <v>453</v>
      </c>
      <c r="R64" s="92">
        <v>45.08</v>
      </c>
    </row>
    <row r="65" spans="1:18" ht="13">
      <c r="A65" s="2" t="s">
        <v>322</v>
      </c>
      <c r="B65" s="16">
        <f ca="1">IFERROR(__xludf.DUMMYFUNCTION("""COMPUTED_VALUE"""),2918500)</f>
        <v>2918500</v>
      </c>
      <c r="C65" s="89" t="s">
        <v>393</v>
      </c>
      <c r="D65" s="95" t="s">
        <v>396</v>
      </c>
      <c r="E65" s="96">
        <v>45922</v>
      </c>
      <c r="F65" s="16">
        <v>0</v>
      </c>
      <c r="G65" s="16">
        <v>0</v>
      </c>
      <c r="H65" s="16">
        <v>8.99</v>
      </c>
      <c r="I65" s="8">
        <v>0</v>
      </c>
      <c r="J65" s="8">
        <v>0</v>
      </c>
      <c r="K65" s="8">
        <v>8.99</v>
      </c>
      <c r="L65" s="87">
        <v>1</v>
      </c>
      <c r="M65" s="87">
        <v>1</v>
      </c>
      <c r="N65" s="87">
        <v>3</v>
      </c>
      <c r="O65" s="87">
        <v>2</v>
      </c>
      <c r="P65" s="26">
        <v>0</v>
      </c>
      <c r="Q65" s="16">
        <v>2639</v>
      </c>
      <c r="R65" s="97">
        <v>88.02</v>
      </c>
    </row>
    <row r="66" spans="1:18" ht="13">
      <c r="A66" s="2" t="s">
        <v>327</v>
      </c>
      <c r="B66" s="98">
        <f ca="1">IFERROR(__xludf.DUMMYFUNCTION("""COMPUTED_VALUE"""),1865930)</f>
        <v>1865930</v>
      </c>
      <c r="C66" s="99" t="s">
        <v>399</v>
      </c>
      <c r="D66" s="100" t="s">
        <v>402</v>
      </c>
      <c r="E66" s="101">
        <v>45491</v>
      </c>
      <c r="F66" s="98">
        <v>0</v>
      </c>
      <c r="G66" s="98">
        <v>0</v>
      </c>
      <c r="H66" s="102">
        <v>19.989999999999998</v>
      </c>
      <c r="I66" s="8">
        <v>0</v>
      </c>
      <c r="J66" s="8">
        <v>0</v>
      </c>
      <c r="K66" s="8">
        <v>19.989999999999998</v>
      </c>
      <c r="L66" s="98">
        <v>2</v>
      </c>
      <c r="M66" s="98">
        <v>1</v>
      </c>
      <c r="N66" s="98">
        <v>3</v>
      </c>
      <c r="O66" s="98">
        <v>1</v>
      </c>
      <c r="P66" s="26">
        <v>0</v>
      </c>
      <c r="Q66" s="98">
        <v>287</v>
      </c>
      <c r="R66" s="103">
        <v>78.37</v>
      </c>
    </row>
    <row r="67" spans="1:18" ht="13">
      <c r="A67" s="2" t="s">
        <v>331</v>
      </c>
      <c r="B67" s="98">
        <f ca="1">IFERROR(__xludf.DUMMYFUNCTION("""COMPUTED_VALUE"""),2854710)</f>
        <v>2854710</v>
      </c>
      <c r="C67" s="99" t="s">
        <v>405</v>
      </c>
      <c r="D67" s="100" t="s">
        <v>408</v>
      </c>
      <c r="E67" s="101">
        <v>45461</v>
      </c>
      <c r="F67" s="98">
        <v>0</v>
      </c>
      <c r="G67" s="98">
        <v>0</v>
      </c>
      <c r="H67" s="102">
        <v>19.989999999999998</v>
      </c>
      <c r="I67" s="8">
        <v>0</v>
      </c>
      <c r="J67" s="8">
        <v>0</v>
      </c>
      <c r="K67" s="8">
        <v>19.989999999999998</v>
      </c>
      <c r="L67" s="98">
        <v>2</v>
      </c>
      <c r="M67" s="98">
        <v>1</v>
      </c>
      <c r="N67" s="98">
        <v>3</v>
      </c>
      <c r="O67" s="98">
        <v>1</v>
      </c>
      <c r="P67" s="26">
        <v>0</v>
      </c>
      <c r="Q67" s="98">
        <v>149</v>
      </c>
      <c r="R67" s="103">
        <v>54.97</v>
      </c>
    </row>
    <row r="68" spans="1:18" ht="13">
      <c r="A68" s="2" t="s">
        <v>335</v>
      </c>
      <c r="B68" s="98">
        <f ca="1">IFERROR(__xludf.DUMMYFUNCTION("""COMPUTED_VALUE"""),2289390)</f>
        <v>2289390</v>
      </c>
      <c r="C68" s="99" t="s">
        <v>411</v>
      </c>
      <c r="D68" s="100" t="s">
        <v>414</v>
      </c>
      <c r="E68" s="101">
        <v>45463</v>
      </c>
      <c r="F68" s="98">
        <v>0</v>
      </c>
      <c r="G68" s="98">
        <v>0</v>
      </c>
      <c r="H68" s="102">
        <v>19.989999999999998</v>
      </c>
      <c r="I68" s="8">
        <v>0</v>
      </c>
      <c r="J68" s="8">
        <v>0</v>
      </c>
      <c r="K68" s="8">
        <v>19.989999999999998</v>
      </c>
      <c r="L68" s="98">
        <v>2</v>
      </c>
      <c r="M68" s="98">
        <v>1</v>
      </c>
      <c r="N68" s="98">
        <v>3</v>
      </c>
      <c r="O68" s="98">
        <v>1</v>
      </c>
      <c r="P68" s="26">
        <v>0</v>
      </c>
      <c r="Q68" s="98">
        <v>325</v>
      </c>
      <c r="R68" s="103">
        <v>76.52</v>
      </c>
    </row>
    <row r="69" spans="1:18" ht="13">
      <c r="A69" s="2" t="s">
        <v>340</v>
      </c>
      <c r="B69" s="98">
        <f ca="1">IFERROR(__xludf.DUMMYFUNCTION("""COMPUTED_VALUE"""),2162800)</f>
        <v>2162800</v>
      </c>
      <c r="C69" s="99" t="s">
        <v>417</v>
      </c>
      <c r="D69" s="100" t="s">
        <v>420</v>
      </c>
      <c r="E69" s="101">
        <v>46135</v>
      </c>
      <c r="F69" s="98">
        <v>0</v>
      </c>
      <c r="G69" s="98">
        <v>0</v>
      </c>
      <c r="H69" s="102">
        <v>24.99</v>
      </c>
      <c r="I69" s="37">
        <v>46041</v>
      </c>
      <c r="J69" s="8">
        <v>1</v>
      </c>
      <c r="K69" s="84">
        <v>29.99</v>
      </c>
      <c r="L69" s="98">
        <v>2</v>
      </c>
      <c r="M69" s="98">
        <v>1</v>
      </c>
      <c r="N69" s="98">
        <v>3</v>
      </c>
      <c r="O69" s="98">
        <v>1</v>
      </c>
      <c r="P69" s="26">
        <v>1</v>
      </c>
      <c r="Q69" s="98">
        <v>15067</v>
      </c>
      <c r="R69" s="103">
        <v>94.44</v>
      </c>
    </row>
    <row r="70" spans="1:18" ht="13">
      <c r="A70" s="2" t="s">
        <v>345</v>
      </c>
      <c r="B70" s="98">
        <f ca="1">IFERROR(__xludf.DUMMYFUNCTION("""COMPUTED_VALUE"""),2078230)</f>
        <v>2078230</v>
      </c>
      <c r="C70" s="99" t="s">
        <v>424</v>
      </c>
      <c r="D70" s="100" t="s">
        <v>426</v>
      </c>
      <c r="E70" s="101">
        <v>45775</v>
      </c>
      <c r="F70" s="98">
        <v>0</v>
      </c>
      <c r="G70" s="98">
        <v>0</v>
      </c>
      <c r="H70" s="102">
        <v>18.989999999999998</v>
      </c>
      <c r="I70" s="8">
        <v>0</v>
      </c>
      <c r="J70" s="8">
        <v>0</v>
      </c>
      <c r="K70" s="8">
        <v>18.989999999999998</v>
      </c>
      <c r="L70" s="98">
        <v>2</v>
      </c>
      <c r="M70" s="98">
        <v>1</v>
      </c>
      <c r="N70" s="98">
        <v>3</v>
      </c>
      <c r="O70" s="98">
        <v>1</v>
      </c>
      <c r="P70" s="26">
        <v>0</v>
      </c>
      <c r="Q70" s="98">
        <v>1223</v>
      </c>
      <c r="R70" s="103">
        <v>75.5</v>
      </c>
    </row>
    <row r="71" spans="1:18" ht="13">
      <c r="A71" s="2" t="s">
        <v>350</v>
      </c>
      <c r="B71" s="104">
        <f ca="1">IFERROR(__xludf.DUMMYFUNCTION("""COMPUTED_VALUE"""),2949320)</f>
        <v>2949320</v>
      </c>
      <c r="C71" s="105" t="s">
        <v>430</v>
      </c>
      <c r="D71" s="106" t="s">
        <v>433</v>
      </c>
      <c r="E71" s="107">
        <v>45918</v>
      </c>
      <c r="F71" s="104">
        <v>0</v>
      </c>
      <c r="G71" s="104">
        <v>0</v>
      </c>
      <c r="H71" s="108">
        <v>24.99</v>
      </c>
      <c r="I71" s="8">
        <v>0</v>
      </c>
      <c r="J71" s="8">
        <v>0</v>
      </c>
      <c r="K71" s="8">
        <v>24.99</v>
      </c>
      <c r="L71" s="104">
        <v>2</v>
      </c>
      <c r="M71" s="104">
        <v>1</v>
      </c>
      <c r="N71" s="104">
        <v>1</v>
      </c>
      <c r="O71" s="104">
        <v>2</v>
      </c>
      <c r="P71" s="26">
        <v>1</v>
      </c>
      <c r="Q71" s="104">
        <v>3088</v>
      </c>
      <c r="R71" s="109">
        <v>82.48</v>
      </c>
    </row>
    <row r="72" spans="1:18" ht="13">
      <c r="A72" s="2" t="s">
        <v>355</v>
      </c>
      <c r="B72" s="104">
        <f ca="1">IFERROR(__xludf.DUMMYFUNCTION("""COMPUTED_VALUE"""),3116640)</f>
        <v>3116640</v>
      </c>
      <c r="C72" s="105" t="s">
        <v>437</v>
      </c>
      <c r="D72" s="106" t="s">
        <v>439</v>
      </c>
      <c r="E72" s="107">
        <v>45625</v>
      </c>
      <c r="F72" s="104">
        <v>0</v>
      </c>
      <c r="G72" s="104">
        <v>0</v>
      </c>
      <c r="H72" s="108">
        <v>19.989999999999998</v>
      </c>
      <c r="I72" s="8">
        <v>0</v>
      </c>
      <c r="J72" s="8">
        <v>0</v>
      </c>
      <c r="K72" s="8">
        <v>19.989999999999998</v>
      </c>
      <c r="L72" s="104">
        <v>2</v>
      </c>
      <c r="M72" s="104">
        <v>1</v>
      </c>
      <c r="N72" s="104">
        <v>1</v>
      </c>
      <c r="O72" s="104">
        <v>2</v>
      </c>
      <c r="P72" s="26">
        <v>1</v>
      </c>
      <c r="Q72" s="104">
        <v>422</v>
      </c>
      <c r="R72" s="109">
        <v>62.91</v>
      </c>
    </row>
    <row r="73" spans="1:18" ht="13">
      <c r="A73" s="2" t="s">
        <v>360</v>
      </c>
      <c r="B73" s="104">
        <f ca="1">IFERROR(__xludf.DUMMYFUNCTION("""COMPUTED_VALUE"""),3189340)</f>
        <v>3189340</v>
      </c>
      <c r="C73" s="105" t="s">
        <v>443</v>
      </c>
      <c r="D73" s="106" t="s">
        <v>446</v>
      </c>
      <c r="E73" s="107">
        <v>45911</v>
      </c>
      <c r="F73" s="104">
        <v>0</v>
      </c>
      <c r="G73" s="104">
        <v>0</v>
      </c>
      <c r="H73" s="108">
        <v>29.99</v>
      </c>
      <c r="I73" s="8">
        <v>0</v>
      </c>
      <c r="J73" s="8">
        <v>0</v>
      </c>
      <c r="K73" s="8">
        <v>29.99</v>
      </c>
      <c r="L73" s="104">
        <v>2</v>
      </c>
      <c r="M73" s="104">
        <v>1</v>
      </c>
      <c r="N73" s="104">
        <v>1</v>
      </c>
      <c r="O73" s="104">
        <v>2</v>
      </c>
      <c r="P73" s="26">
        <v>0</v>
      </c>
      <c r="Q73" s="104">
        <v>966</v>
      </c>
      <c r="R73" s="109">
        <v>85.73</v>
      </c>
    </row>
    <row r="74" spans="1:18" ht="13">
      <c r="A74" s="2" t="s">
        <v>364</v>
      </c>
      <c r="B74" s="104">
        <f ca="1">IFERROR(__xludf.DUMMYFUNCTION("""COMPUTED_VALUE"""),1221480)</f>
        <v>1221480</v>
      </c>
      <c r="C74" s="105" t="s">
        <v>450</v>
      </c>
      <c r="D74" s="110" t="s">
        <v>452</v>
      </c>
      <c r="E74" s="107">
        <v>46034</v>
      </c>
      <c r="F74" s="104">
        <v>0</v>
      </c>
      <c r="G74" s="104">
        <v>0</v>
      </c>
      <c r="H74" s="108">
        <v>19.989999999999998</v>
      </c>
      <c r="I74" s="8">
        <v>0</v>
      </c>
      <c r="J74" s="8">
        <v>0</v>
      </c>
      <c r="K74" s="8">
        <v>19.989999999999998</v>
      </c>
      <c r="L74" s="104">
        <v>2</v>
      </c>
      <c r="M74" s="104">
        <v>1</v>
      </c>
      <c r="N74" s="104">
        <v>1</v>
      </c>
      <c r="O74" s="104">
        <v>2</v>
      </c>
      <c r="P74" s="26">
        <v>0</v>
      </c>
      <c r="Q74" s="104">
        <v>556</v>
      </c>
      <c r="R74" s="109">
        <v>85.66</v>
      </c>
    </row>
    <row r="75" spans="1:18" ht="13">
      <c r="A75" s="2" t="s">
        <v>368</v>
      </c>
      <c r="B75" s="111">
        <f ca="1">IFERROR(__xludf.DUMMYFUNCTION("""COMPUTED_VALUE"""),1466230)</f>
        <v>1466230</v>
      </c>
      <c r="C75" s="112" t="s">
        <v>455</v>
      </c>
      <c r="D75" s="113" t="s">
        <v>459</v>
      </c>
      <c r="E75" s="114">
        <v>45561</v>
      </c>
      <c r="F75" s="111">
        <v>0</v>
      </c>
      <c r="G75" s="111">
        <v>0</v>
      </c>
      <c r="H75" s="115">
        <v>19.989999999999998</v>
      </c>
      <c r="I75" s="8">
        <v>0</v>
      </c>
      <c r="J75" s="8">
        <v>0</v>
      </c>
      <c r="K75" s="8">
        <v>19.989999999999998</v>
      </c>
      <c r="L75" s="111">
        <v>2</v>
      </c>
      <c r="M75" s="111">
        <v>1</v>
      </c>
      <c r="N75" s="111">
        <v>2</v>
      </c>
      <c r="O75" s="111">
        <v>1</v>
      </c>
      <c r="P75" s="26">
        <v>0</v>
      </c>
      <c r="Q75" s="111">
        <v>347</v>
      </c>
      <c r="R75" s="116">
        <v>88.55</v>
      </c>
    </row>
    <row r="76" spans="1:18" ht="13">
      <c r="A76" s="2" t="s">
        <v>373</v>
      </c>
      <c r="B76" s="111">
        <f ca="1">IFERROR(__xludf.DUMMYFUNCTION("""COMPUTED_VALUE"""),1307960)</f>
        <v>1307960</v>
      </c>
      <c r="C76" s="112" t="s">
        <v>463</v>
      </c>
      <c r="D76" s="113" t="s">
        <v>466</v>
      </c>
      <c r="E76" s="114">
        <v>45895</v>
      </c>
      <c r="F76" s="111">
        <v>0</v>
      </c>
      <c r="G76" s="111">
        <v>0</v>
      </c>
      <c r="H76" s="115">
        <v>19.989999999999998</v>
      </c>
      <c r="I76" s="8">
        <v>0</v>
      </c>
      <c r="J76" s="8">
        <v>0</v>
      </c>
      <c r="K76" s="8">
        <v>19.989999999999998</v>
      </c>
      <c r="L76" s="111">
        <v>2</v>
      </c>
      <c r="M76" s="111">
        <v>1</v>
      </c>
      <c r="N76" s="111">
        <v>2</v>
      </c>
      <c r="O76" s="111">
        <v>1</v>
      </c>
      <c r="P76" s="26">
        <v>0</v>
      </c>
      <c r="Q76" s="111">
        <v>392</v>
      </c>
      <c r="R76" s="116">
        <v>88.32</v>
      </c>
    </row>
    <row r="77" spans="1:18" ht="13">
      <c r="A77" s="2" t="s">
        <v>377</v>
      </c>
      <c r="B77" s="111">
        <f ca="1">IFERROR(__xludf.DUMMYFUNCTION("""COMPUTED_VALUE"""),1897650)</f>
        <v>1897650</v>
      </c>
      <c r="C77" s="112" t="s">
        <v>469</v>
      </c>
      <c r="D77" s="113" t="s">
        <v>472</v>
      </c>
      <c r="E77" s="114">
        <v>45397</v>
      </c>
      <c r="F77" s="111">
        <v>0</v>
      </c>
      <c r="G77" s="111">
        <v>0</v>
      </c>
      <c r="H77" s="115">
        <v>17.989999999999998</v>
      </c>
      <c r="I77" s="8">
        <v>0</v>
      </c>
      <c r="J77" s="8">
        <v>0</v>
      </c>
      <c r="K77" s="8">
        <v>17.989999999999998</v>
      </c>
      <c r="L77" s="111">
        <v>2</v>
      </c>
      <c r="M77" s="111">
        <v>1</v>
      </c>
      <c r="N77" s="111">
        <v>2</v>
      </c>
      <c r="O77" s="111">
        <v>1</v>
      </c>
      <c r="P77" s="26">
        <v>0</v>
      </c>
      <c r="Q77" s="111">
        <v>688</v>
      </c>
      <c r="R77" s="116">
        <v>86.63</v>
      </c>
    </row>
    <row r="78" spans="1:18" ht="13">
      <c r="A78" s="2" t="s">
        <v>381</v>
      </c>
      <c r="B78" s="111">
        <f ca="1">IFERROR(__xludf.DUMMYFUNCTION("""COMPUTED_VALUE"""),2288470)</f>
        <v>2288470</v>
      </c>
      <c r="C78" s="112" t="s">
        <v>476</v>
      </c>
      <c r="D78" s="117" t="s">
        <v>479</v>
      </c>
      <c r="E78" s="114">
        <v>45923</v>
      </c>
      <c r="F78" s="111">
        <v>0</v>
      </c>
      <c r="G78" s="111">
        <v>0</v>
      </c>
      <c r="H78" s="118">
        <v>21.99</v>
      </c>
      <c r="I78" s="37">
        <v>46162</v>
      </c>
      <c r="J78" s="8">
        <v>1</v>
      </c>
      <c r="K78" s="8">
        <v>25.99</v>
      </c>
      <c r="L78" s="111">
        <v>2</v>
      </c>
      <c r="M78" s="111">
        <v>1</v>
      </c>
      <c r="N78" s="111">
        <v>2</v>
      </c>
      <c r="O78" s="111">
        <v>1</v>
      </c>
      <c r="P78" s="26">
        <v>1</v>
      </c>
      <c r="Q78" s="111">
        <v>2642</v>
      </c>
      <c r="R78" s="116">
        <v>87.65</v>
      </c>
    </row>
    <row r="79" spans="1:18" ht="13">
      <c r="A79" s="2" t="s">
        <v>386</v>
      </c>
      <c r="B79" s="119">
        <f ca="1">IFERROR(__xludf.DUMMYFUNCTION("""COMPUTED_VALUE"""),2934190)</f>
        <v>2934190</v>
      </c>
      <c r="C79" s="120" t="s">
        <v>482</v>
      </c>
      <c r="D79" s="121" t="s">
        <v>484</v>
      </c>
      <c r="E79" s="122">
        <v>45498</v>
      </c>
      <c r="F79" s="119">
        <v>0</v>
      </c>
      <c r="G79" s="119">
        <v>0</v>
      </c>
      <c r="H79" s="123">
        <v>9.99</v>
      </c>
      <c r="I79" s="8">
        <v>0</v>
      </c>
      <c r="J79" s="8">
        <v>0</v>
      </c>
      <c r="K79" s="8">
        <v>9.99</v>
      </c>
      <c r="L79" s="119">
        <v>1</v>
      </c>
      <c r="M79" s="119">
        <v>1</v>
      </c>
      <c r="N79" s="119">
        <v>2</v>
      </c>
      <c r="O79" s="119">
        <v>1</v>
      </c>
      <c r="P79" s="26">
        <v>0</v>
      </c>
      <c r="Q79" s="119">
        <v>1008</v>
      </c>
      <c r="R79" s="124">
        <v>73.709999999999994</v>
      </c>
    </row>
    <row r="80" spans="1:18" ht="13">
      <c r="A80" s="2" t="s">
        <v>391</v>
      </c>
      <c r="B80" s="119">
        <f ca="1">IFERROR(__xludf.DUMMYFUNCTION("""COMPUTED_VALUE"""),1811330)</f>
        <v>1811330</v>
      </c>
      <c r="C80" s="120" t="s">
        <v>488</v>
      </c>
      <c r="D80" s="121" t="s">
        <v>490</v>
      </c>
      <c r="E80" s="122">
        <v>45917</v>
      </c>
      <c r="F80" s="119">
        <v>0</v>
      </c>
      <c r="G80" s="119">
        <v>0</v>
      </c>
      <c r="H80" s="123">
        <v>14.99</v>
      </c>
      <c r="I80" s="8">
        <v>0</v>
      </c>
      <c r="J80" s="8">
        <v>0</v>
      </c>
      <c r="K80" s="8">
        <v>14.99</v>
      </c>
      <c r="L80" s="119">
        <v>1</v>
      </c>
      <c r="M80" s="119">
        <v>1</v>
      </c>
      <c r="N80" s="119">
        <v>2</v>
      </c>
      <c r="O80" s="119">
        <v>1</v>
      </c>
      <c r="P80" s="26">
        <v>0</v>
      </c>
      <c r="Q80" s="119">
        <v>142</v>
      </c>
      <c r="R80" s="124">
        <v>82.77</v>
      </c>
    </row>
    <row r="81" spans="1:18" ht="13">
      <c r="A81" s="2" t="s">
        <v>395</v>
      </c>
      <c r="B81" s="119">
        <f ca="1">IFERROR(__xludf.DUMMYFUNCTION("""COMPUTED_VALUE"""),3329650)</f>
        <v>3329650</v>
      </c>
      <c r="C81" s="125" t="s">
        <v>492</v>
      </c>
      <c r="D81" s="121" t="s">
        <v>493</v>
      </c>
      <c r="E81" s="122">
        <v>45734</v>
      </c>
      <c r="F81" s="119">
        <v>0</v>
      </c>
      <c r="G81" s="119">
        <v>0</v>
      </c>
      <c r="H81" s="123">
        <v>4.99</v>
      </c>
      <c r="I81" s="8">
        <v>0</v>
      </c>
      <c r="J81" s="8">
        <v>0</v>
      </c>
      <c r="K81" s="8">
        <v>4.99</v>
      </c>
      <c r="L81" s="119">
        <v>1</v>
      </c>
      <c r="M81" s="119">
        <v>1</v>
      </c>
      <c r="N81" s="119">
        <v>2</v>
      </c>
      <c r="O81" s="119">
        <v>1</v>
      </c>
      <c r="P81" s="26">
        <v>0</v>
      </c>
      <c r="Q81" s="119">
        <v>172</v>
      </c>
      <c r="R81" s="124">
        <v>63.74</v>
      </c>
    </row>
    <row r="82" spans="1:18" ht="13">
      <c r="A82" s="2" t="s">
        <v>400</v>
      </c>
      <c r="B82" s="119">
        <f ca="1">IFERROR(__xludf.DUMMYFUNCTION("""COMPUTED_VALUE"""),2828590)</f>
        <v>2828590</v>
      </c>
      <c r="C82" s="120" t="s">
        <v>494</v>
      </c>
      <c r="D82" s="126" t="s">
        <v>495</v>
      </c>
      <c r="E82" s="122">
        <v>45670</v>
      </c>
      <c r="F82" s="119">
        <v>0</v>
      </c>
      <c r="G82" s="119">
        <v>0</v>
      </c>
      <c r="H82" s="123">
        <v>14.99</v>
      </c>
      <c r="I82" s="8">
        <v>0</v>
      </c>
      <c r="J82" s="8">
        <v>0</v>
      </c>
      <c r="K82" s="8">
        <v>14.99</v>
      </c>
      <c r="L82" s="119">
        <v>1</v>
      </c>
      <c r="M82" s="119">
        <v>1</v>
      </c>
      <c r="N82" s="119">
        <v>2</v>
      </c>
      <c r="O82" s="119">
        <v>1</v>
      </c>
      <c r="P82" s="26">
        <v>0</v>
      </c>
      <c r="Q82" s="119">
        <v>167</v>
      </c>
      <c r="R82" s="124">
        <v>81.78</v>
      </c>
    </row>
    <row r="83" spans="1:18" ht="13">
      <c r="A83" s="2" t="s">
        <v>404</v>
      </c>
      <c r="B83" s="45">
        <f ca="1">IFERROR(__xludf.DUMMYFUNCTION("""COMPUTED_VALUE"""),1669480)</f>
        <v>1669480</v>
      </c>
      <c r="C83" s="50" t="s">
        <v>496</v>
      </c>
      <c r="D83" s="47" t="s">
        <v>497</v>
      </c>
      <c r="E83" s="48">
        <v>45909</v>
      </c>
      <c r="F83" s="45">
        <v>0</v>
      </c>
      <c r="G83" s="45">
        <v>0</v>
      </c>
      <c r="H83" s="25">
        <v>34.99</v>
      </c>
      <c r="I83" s="8">
        <v>0</v>
      </c>
      <c r="J83" s="8">
        <v>0</v>
      </c>
      <c r="K83" s="8">
        <v>34.99</v>
      </c>
      <c r="L83" s="45">
        <v>3</v>
      </c>
      <c r="M83" s="45">
        <v>2</v>
      </c>
      <c r="N83" s="45">
        <v>3</v>
      </c>
      <c r="O83" s="45">
        <v>2</v>
      </c>
      <c r="P83" s="26">
        <v>1</v>
      </c>
      <c r="Q83" s="45">
        <v>2554</v>
      </c>
      <c r="R83" s="49">
        <v>77.52</v>
      </c>
    </row>
    <row r="84" spans="1:18" ht="13">
      <c r="A84" s="2" t="s">
        <v>409</v>
      </c>
      <c r="B84" s="45">
        <f ca="1">IFERROR(__xludf.DUMMYFUNCTION("""COMPUTED_VALUE"""),2399420)</f>
        <v>2399420</v>
      </c>
      <c r="C84" s="50" t="s">
        <v>498</v>
      </c>
      <c r="D84" s="52" t="s">
        <v>499</v>
      </c>
      <c r="E84" s="48">
        <v>45860</v>
      </c>
      <c r="F84" s="45">
        <v>0</v>
      </c>
      <c r="G84" s="45">
        <v>0</v>
      </c>
      <c r="H84" s="70">
        <v>32.99</v>
      </c>
      <c r="I84" s="37">
        <v>45566</v>
      </c>
      <c r="J84" s="8">
        <v>2</v>
      </c>
      <c r="K84" s="8">
        <v>39.99</v>
      </c>
      <c r="L84" s="45">
        <v>3</v>
      </c>
      <c r="M84" s="45">
        <v>2</v>
      </c>
      <c r="N84" s="45">
        <v>3</v>
      </c>
      <c r="O84" s="45">
        <v>2</v>
      </c>
      <c r="P84" s="26">
        <v>1</v>
      </c>
      <c r="Q84" s="45">
        <v>19586</v>
      </c>
      <c r="R84" s="49">
        <v>77.44</v>
      </c>
    </row>
    <row r="85" spans="1:18" ht="13">
      <c r="A85" s="2" t="s">
        <v>413</v>
      </c>
      <c r="B85" s="45">
        <f ca="1">IFERROR(__xludf.DUMMYFUNCTION("""COMPUTED_VALUE"""),2021880)</f>
        <v>2021880</v>
      </c>
      <c r="C85" s="50" t="s">
        <v>500</v>
      </c>
      <c r="D85" s="127" t="s">
        <v>501</v>
      </c>
      <c r="E85" s="48">
        <v>45559</v>
      </c>
      <c r="F85" s="45">
        <v>0</v>
      </c>
      <c r="G85" s="45">
        <v>0</v>
      </c>
      <c r="H85" s="70">
        <v>59.99</v>
      </c>
      <c r="I85" s="37">
        <v>45924</v>
      </c>
      <c r="J85" s="8">
        <v>1</v>
      </c>
      <c r="K85" s="8">
        <v>49.99</v>
      </c>
      <c r="L85" s="45">
        <v>3</v>
      </c>
      <c r="M85" s="45">
        <v>2</v>
      </c>
      <c r="N85" s="45">
        <v>3</v>
      </c>
      <c r="O85" s="45">
        <v>2</v>
      </c>
      <c r="P85" s="26">
        <v>0</v>
      </c>
      <c r="Q85" s="45">
        <v>2287</v>
      </c>
      <c r="R85" s="49">
        <v>67.23</v>
      </c>
    </row>
    <row r="86" spans="1:18" ht="13">
      <c r="A86" s="2" t="s">
        <v>418</v>
      </c>
      <c r="B86" s="8">
        <f ca="1">IFERROR(__xludf.DUMMYFUNCTION("""COMPUTED_VALUE"""),1594040)</f>
        <v>1594040</v>
      </c>
      <c r="C86" s="47" t="s">
        <v>502</v>
      </c>
      <c r="D86" s="52" t="s">
        <v>503</v>
      </c>
      <c r="E86" s="37">
        <v>45958</v>
      </c>
      <c r="F86" s="8">
        <v>0</v>
      </c>
      <c r="G86" s="8">
        <v>0</v>
      </c>
      <c r="H86" s="8">
        <v>39.99</v>
      </c>
      <c r="I86" s="8">
        <v>0</v>
      </c>
      <c r="J86" s="8">
        <v>0</v>
      </c>
      <c r="K86" s="8">
        <v>39.99</v>
      </c>
      <c r="L86" s="45">
        <v>3</v>
      </c>
      <c r="M86" s="45">
        <v>2</v>
      </c>
      <c r="N86" s="45">
        <v>3</v>
      </c>
      <c r="O86" s="45">
        <v>2</v>
      </c>
      <c r="P86" s="26">
        <v>0</v>
      </c>
      <c r="Q86" s="8">
        <v>488</v>
      </c>
      <c r="R86" s="54">
        <v>62.47</v>
      </c>
    </row>
    <row r="87" spans="1:18" ht="13">
      <c r="A87" s="2" t="s">
        <v>422</v>
      </c>
      <c r="B87" s="119">
        <f ca="1">IFERROR(__xludf.DUMMYFUNCTION("""COMPUTED_VALUE"""),3402720)</f>
        <v>3402720</v>
      </c>
      <c r="C87" s="120" t="s">
        <v>504</v>
      </c>
      <c r="D87" s="121" t="s">
        <v>505</v>
      </c>
      <c r="E87" s="122">
        <v>46114</v>
      </c>
      <c r="F87" s="119">
        <v>0</v>
      </c>
      <c r="G87" s="119">
        <v>0</v>
      </c>
      <c r="H87" s="123">
        <v>29.99</v>
      </c>
      <c r="I87" s="8">
        <v>0</v>
      </c>
      <c r="J87" s="8">
        <v>0</v>
      </c>
      <c r="K87" s="8">
        <v>29.99</v>
      </c>
      <c r="L87" s="119">
        <v>2</v>
      </c>
      <c r="M87" s="119">
        <v>1</v>
      </c>
      <c r="N87" s="119">
        <v>3</v>
      </c>
      <c r="O87" s="119">
        <v>2</v>
      </c>
      <c r="P87" s="26">
        <v>0</v>
      </c>
      <c r="Q87" s="119">
        <v>142</v>
      </c>
      <c r="R87" s="124">
        <v>62.02</v>
      </c>
    </row>
    <row r="88" spans="1:18" ht="13">
      <c r="A88" s="2" t="s">
        <v>427</v>
      </c>
      <c r="B88" s="119">
        <f ca="1">IFERROR(__xludf.DUMMYFUNCTION("""COMPUTED_VALUE"""),1416960)</f>
        <v>1416960</v>
      </c>
      <c r="C88" s="120" t="s">
        <v>506</v>
      </c>
      <c r="D88" s="126" t="s">
        <v>507</v>
      </c>
      <c r="E88" s="122">
        <v>45463</v>
      </c>
      <c r="F88" s="119">
        <v>0</v>
      </c>
      <c r="G88" s="119">
        <v>0</v>
      </c>
      <c r="H88" s="123">
        <v>19.989999999999998</v>
      </c>
      <c r="I88" s="8">
        <v>0</v>
      </c>
      <c r="J88" s="8">
        <v>0</v>
      </c>
      <c r="K88" s="8">
        <v>19.989999999999998</v>
      </c>
      <c r="L88" s="119">
        <v>2</v>
      </c>
      <c r="M88" s="119">
        <v>1</v>
      </c>
      <c r="N88" s="119">
        <v>3</v>
      </c>
      <c r="O88" s="119">
        <v>2</v>
      </c>
      <c r="P88" s="26">
        <v>0</v>
      </c>
      <c r="Q88" s="119">
        <v>726</v>
      </c>
      <c r="R88" s="124">
        <v>79.34</v>
      </c>
    </row>
    <row r="89" spans="1:18" ht="13">
      <c r="A89" s="2" t="s">
        <v>431</v>
      </c>
      <c r="B89" s="119">
        <f ca="1">IFERROR(__xludf.DUMMYFUNCTION("""COMPUTED_VALUE"""),3164500)</f>
        <v>3164500</v>
      </c>
      <c r="C89" s="120" t="s">
        <v>508</v>
      </c>
      <c r="D89" s="126" t="s">
        <v>509</v>
      </c>
      <c r="E89" s="122">
        <v>45741</v>
      </c>
      <c r="F89" s="119">
        <v>0</v>
      </c>
      <c r="G89" s="119">
        <v>0</v>
      </c>
      <c r="H89" s="128">
        <v>19.989999999999998</v>
      </c>
      <c r="I89" s="8">
        <v>0</v>
      </c>
      <c r="J89" s="8">
        <v>0</v>
      </c>
      <c r="K89" s="8">
        <v>19.989999999999998</v>
      </c>
      <c r="L89" s="119">
        <v>2</v>
      </c>
      <c r="M89" s="119">
        <v>1</v>
      </c>
      <c r="N89" s="119">
        <v>3</v>
      </c>
      <c r="O89" s="119">
        <v>2</v>
      </c>
      <c r="P89" s="26">
        <v>1</v>
      </c>
      <c r="Q89" s="119">
        <v>314224</v>
      </c>
      <c r="R89" s="124">
        <v>96.75</v>
      </c>
    </row>
    <row r="90" spans="1:18" ht="13">
      <c r="A90" s="2" t="s">
        <v>435</v>
      </c>
      <c r="B90" s="98">
        <f ca="1">IFERROR(__xludf.DUMMYFUNCTION("""COMPUTED_VALUE"""),3081840)</f>
        <v>3081840</v>
      </c>
      <c r="C90" s="99" t="s">
        <v>510</v>
      </c>
      <c r="D90" s="129" t="s">
        <v>511</v>
      </c>
      <c r="E90" s="101">
        <v>45912</v>
      </c>
      <c r="F90" s="98">
        <v>0</v>
      </c>
      <c r="G90" s="98">
        <v>0</v>
      </c>
      <c r="H90" s="102">
        <v>17.989999999999998</v>
      </c>
      <c r="I90" s="8">
        <v>0</v>
      </c>
      <c r="J90" s="8">
        <v>0</v>
      </c>
      <c r="K90" s="8">
        <v>17.989999999999998</v>
      </c>
      <c r="L90" s="98">
        <v>2</v>
      </c>
      <c r="M90" s="98">
        <v>1</v>
      </c>
      <c r="N90" s="98">
        <v>1</v>
      </c>
      <c r="O90" s="98">
        <v>1</v>
      </c>
      <c r="P90" s="26">
        <v>0</v>
      </c>
      <c r="Q90" s="98">
        <v>995</v>
      </c>
      <c r="R90" s="103">
        <v>92.86</v>
      </c>
    </row>
    <row r="91" spans="1:18" ht="13">
      <c r="A91" s="2" t="s">
        <v>440</v>
      </c>
      <c r="B91" s="98">
        <f ca="1">IFERROR(__xludf.DUMMYFUNCTION("""COMPUTED_VALUE"""),1308940)</f>
        <v>1308940</v>
      </c>
      <c r="C91" s="99" t="s">
        <v>512</v>
      </c>
      <c r="D91" s="129" t="s">
        <v>513</v>
      </c>
      <c r="E91" s="101">
        <v>45869</v>
      </c>
      <c r="F91" s="98">
        <v>0</v>
      </c>
      <c r="G91" s="98">
        <v>0</v>
      </c>
      <c r="H91" s="102">
        <v>19.989999999999998</v>
      </c>
      <c r="I91" s="8">
        <v>0</v>
      </c>
      <c r="J91" s="8">
        <v>0</v>
      </c>
      <c r="K91" s="8">
        <v>19.989999999999998</v>
      </c>
      <c r="L91" s="98">
        <v>2</v>
      </c>
      <c r="M91" s="98">
        <v>1</v>
      </c>
      <c r="N91" s="98">
        <v>1</v>
      </c>
      <c r="O91" s="98">
        <v>1</v>
      </c>
      <c r="P91" s="26">
        <v>0</v>
      </c>
      <c r="Q91" s="98">
        <v>132</v>
      </c>
      <c r="R91" s="103">
        <v>87.36</v>
      </c>
    </row>
    <row r="92" spans="1:18" ht="13">
      <c r="A92" s="2" t="s">
        <v>444</v>
      </c>
      <c r="B92" s="130">
        <f ca="1">IFERROR(__xludf.DUMMYFUNCTION("""COMPUTED_VALUE"""),2356560)</f>
        <v>2356560</v>
      </c>
      <c r="C92" s="131" t="s">
        <v>514</v>
      </c>
      <c r="D92" s="132" t="s">
        <v>515</v>
      </c>
      <c r="E92" s="133">
        <v>45457</v>
      </c>
      <c r="F92" s="130">
        <v>0</v>
      </c>
      <c r="G92" s="130">
        <v>0</v>
      </c>
      <c r="H92" s="134">
        <v>29.99</v>
      </c>
      <c r="I92" s="8">
        <v>0</v>
      </c>
      <c r="J92" s="8">
        <v>0</v>
      </c>
      <c r="K92" s="8">
        <v>29.99</v>
      </c>
      <c r="L92" s="130">
        <v>2</v>
      </c>
      <c r="M92" s="130">
        <v>2</v>
      </c>
      <c r="N92" s="130">
        <v>2</v>
      </c>
      <c r="O92" s="130">
        <v>2</v>
      </c>
      <c r="P92" s="26">
        <v>0</v>
      </c>
      <c r="Q92" s="130">
        <v>2096</v>
      </c>
      <c r="R92" s="135">
        <v>86.88</v>
      </c>
    </row>
    <row r="93" spans="1:18" ht="13">
      <c r="A93" s="2" t="s">
        <v>448</v>
      </c>
      <c r="B93" s="136">
        <f ca="1">IFERROR(__xludf.DUMMYFUNCTION("""COMPUTED_VALUE"""),1374490)</f>
        <v>1374490</v>
      </c>
      <c r="C93" s="137" t="s">
        <v>516</v>
      </c>
      <c r="D93" s="137" t="s">
        <v>517</v>
      </c>
      <c r="E93" s="138">
        <v>45763</v>
      </c>
      <c r="F93" s="136">
        <v>0</v>
      </c>
      <c r="G93" s="136">
        <v>0</v>
      </c>
      <c r="H93" s="136">
        <v>29.99</v>
      </c>
      <c r="I93" s="8">
        <v>0</v>
      </c>
      <c r="J93" s="8">
        <v>0</v>
      </c>
      <c r="K93" s="8">
        <v>29.99</v>
      </c>
      <c r="L93" s="130">
        <v>2</v>
      </c>
      <c r="M93" s="130">
        <v>2</v>
      </c>
      <c r="N93" s="130">
        <v>2</v>
      </c>
      <c r="O93" s="130">
        <v>2</v>
      </c>
      <c r="P93" s="26">
        <v>1</v>
      </c>
      <c r="Q93" s="136">
        <v>29226</v>
      </c>
      <c r="R93" s="139">
        <v>79.87</v>
      </c>
    </row>
    <row r="94" spans="1:18" ht="13">
      <c r="A94" s="2" t="s">
        <v>453</v>
      </c>
      <c r="B94" s="140">
        <f ca="1">IFERROR(__xludf.DUMMYFUNCTION("""COMPUTED_VALUE"""),2865580)</f>
        <v>2865580</v>
      </c>
      <c r="C94" s="141" t="s">
        <v>518</v>
      </c>
      <c r="D94" s="140" t="s">
        <v>519</v>
      </c>
      <c r="E94" s="142">
        <v>45497</v>
      </c>
      <c r="F94" s="140">
        <v>0</v>
      </c>
      <c r="G94" s="140">
        <v>0</v>
      </c>
      <c r="H94" s="143">
        <v>4.99</v>
      </c>
      <c r="I94" s="8">
        <v>0</v>
      </c>
      <c r="J94" s="8">
        <v>0</v>
      </c>
      <c r="K94" s="8">
        <v>4.99</v>
      </c>
      <c r="L94" s="140">
        <v>1</v>
      </c>
      <c r="M94" s="140">
        <v>1</v>
      </c>
      <c r="N94" s="140">
        <v>4</v>
      </c>
      <c r="O94" s="140">
        <v>2</v>
      </c>
      <c r="P94" s="26">
        <v>0</v>
      </c>
      <c r="Q94" s="140">
        <v>906</v>
      </c>
      <c r="R94" s="144">
        <v>73.95</v>
      </c>
    </row>
    <row r="95" spans="1:18" ht="13">
      <c r="A95" s="2" t="s">
        <v>457</v>
      </c>
      <c r="B95" s="145">
        <f ca="1">IFERROR(__xludf.DUMMYFUNCTION("""COMPUTED_VALUE"""),2285940)</f>
        <v>2285940</v>
      </c>
      <c r="C95" s="146" t="s">
        <v>520</v>
      </c>
      <c r="D95" s="147" t="s">
        <v>521</v>
      </c>
      <c r="E95" s="148">
        <v>45757</v>
      </c>
      <c r="F95" s="145">
        <v>0</v>
      </c>
      <c r="G95" s="145">
        <v>0</v>
      </c>
      <c r="H95" s="145">
        <v>9.99</v>
      </c>
      <c r="I95" s="8">
        <v>0</v>
      </c>
      <c r="J95" s="8">
        <v>0</v>
      </c>
      <c r="K95" s="8">
        <v>9.99</v>
      </c>
      <c r="L95" s="145">
        <v>1</v>
      </c>
      <c r="M95" s="145">
        <v>2</v>
      </c>
      <c r="N95" s="145">
        <v>1</v>
      </c>
      <c r="O95" s="145">
        <v>1</v>
      </c>
      <c r="P95" s="26">
        <v>0</v>
      </c>
      <c r="Q95" s="145">
        <v>199</v>
      </c>
      <c r="R95" s="149">
        <v>75.430000000000007</v>
      </c>
    </row>
    <row r="96" spans="1:18" ht="13">
      <c r="A96" s="2" t="s">
        <v>461</v>
      </c>
      <c r="B96" s="140">
        <f ca="1">IFERROR(__xludf.DUMMYFUNCTION("""COMPUTED_VALUE"""),1762930)</f>
        <v>1762930</v>
      </c>
      <c r="C96" s="141" t="s">
        <v>522</v>
      </c>
      <c r="D96" s="150" t="s">
        <v>523</v>
      </c>
      <c r="E96" s="142">
        <v>45603</v>
      </c>
      <c r="F96" s="140">
        <v>0</v>
      </c>
      <c r="G96" s="140">
        <v>0</v>
      </c>
      <c r="H96" s="143">
        <v>29.99</v>
      </c>
      <c r="I96" s="8">
        <v>0</v>
      </c>
      <c r="J96" s="8">
        <v>0</v>
      </c>
      <c r="K96" s="8">
        <v>29.99</v>
      </c>
      <c r="L96" s="140">
        <v>2</v>
      </c>
      <c r="M96" s="140">
        <v>2</v>
      </c>
      <c r="N96" s="140">
        <v>1</v>
      </c>
      <c r="O96" s="140">
        <v>2</v>
      </c>
      <c r="P96" s="26">
        <v>0</v>
      </c>
      <c r="Q96" s="140">
        <v>1170</v>
      </c>
      <c r="R96" s="144">
        <v>83.43</v>
      </c>
    </row>
    <row r="97" spans="1:26" ht="13">
      <c r="A97" s="2" t="s">
        <v>465</v>
      </c>
      <c r="B97" s="140">
        <f ca="1">IFERROR(__xludf.DUMMYFUNCTION("""COMPUTED_VALUE"""),3314070)</f>
        <v>3314070</v>
      </c>
      <c r="C97" s="141" t="s">
        <v>524</v>
      </c>
      <c r="D97" s="147" t="s">
        <v>525</v>
      </c>
      <c r="E97" s="142">
        <v>45689</v>
      </c>
      <c r="F97" s="140">
        <v>0</v>
      </c>
      <c r="G97" s="140">
        <v>0</v>
      </c>
      <c r="H97" s="143">
        <v>29.99</v>
      </c>
      <c r="I97" s="8">
        <v>0</v>
      </c>
      <c r="J97" s="8">
        <v>0</v>
      </c>
      <c r="K97" s="8">
        <v>29.99</v>
      </c>
      <c r="L97" s="140">
        <v>2</v>
      </c>
      <c r="M97" s="140">
        <v>2</v>
      </c>
      <c r="N97" s="140">
        <v>3</v>
      </c>
      <c r="O97" s="140">
        <v>1</v>
      </c>
      <c r="P97" s="26">
        <v>0</v>
      </c>
      <c r="Q97" s="140">
        <v>5009</v>
      </c>
      <c r="R97" s="144">
        <v>70.67</v>
      </c>
    </row>
    <row r="98" spans="1:26" ht="13">
      <c r="A98" s="2" t="s">
        <v>470</v>
      </c>
      <c r="B98" s="140">
        <f ca="1">IFERROR(__xludf.DUMMYFUNCTION("""COMPUTED_VALUE"""),1588550)</f>
        <v>1588550</v>
      </c>
      <c r="C98" s="151" t="s">
        <v>526</v>
      </c>
      <c r="D98" s="151" t="s">
        <v>527</v>
      </c>
      <c r="E98" s="152">
        <v>46051</v>
      </c>
      <c r="F98" s="153">
        <v>0</v>
      </c>
      <c r="G98" s="153">
        <v>0</v>
      </c>
      <c r="H98" s="154">
        <v>29.99</v>
      </c>
      <c r="I98" s="8">
        <v>0</v>
      </c>
      <c r="J98" s="8">
        <v>0</v>
      </c>
      <c r="K98" s="70">
        <v>29.99</v>
      </c>
      <c r="L98" s="153" t="s">
        <v>528</v>
      </c>
      <c r="M98" s="153">
        <v>1</v>
      </c>
      <c r="N98" s="153">
        <v>1</v>
      </c>
      <c r="O98" s="153">
        <v>1</v>
      </c>
      <c r="P98" s="72">
        <v>0</v>
      </c>
      <c r="Q98" s="153">
        <v>21216</v>
      </c>
      <c r="R98" s="155">
        <v>92.18</v>
      </c>
      <c r="S98" s="18"/>
      <c r="T98" s="18"/>
      <c r="U98" s="18"/>
      <c r="V98" s="18"/>
      <c r="W98" s="18"/>
      <c r="X98" s="18"/>
      <c r="Y98" s="18"/>
      <c r="Z98" s="18"/>
    </row>
    <row r="99" spans="1:26" ht="13">
      <c r="A99" s="2" t="s">
        <v>474</v>
      </c>
      <c r="B99" s="140">
        <f ca="1">IFERROR(__xludf.DUMMYFUNCTION("""COMPUTED_VALUE"""),4039140)</f>
        <v>4039140</v>
      </c>
      <c r="C99" s="151" t="s">
        <v>529</v>
      </c>
      <c r="D99" s="151" t="s">
        <v>530</v>
      </c>
      <c r="E99" s="152">
        <v>46220</v>
      </c>
      <c r="F99" s="153">
        <v>0</v>
      </c>
      <c r="G99" s="153">
        <v>0</v>
      </c>
      <c r="H99" s="154">
        <v>39.99</v>
      </c>
      <c r="I99" s="8">
        <v>0</v>
      </c>
      <c r="J99" s="8">
        <v>0</v>
      </c>
      <c r="K99" s="70">
        <v>39.99</v>
      </c>
      <c r="L99" s="153">
        <v>3</v>
      </c>
      <c r="M99" s="153">
        <v>1</v>
      </c>
      <c r="N99" s="153">
        <v>3</v>
      </c>
      <c r="O99" s="153">
        <v>1</v>
      </c>
      <c r="P99" s="72">
        <v>0</v>
      </c>
      <c r="Q99" s="140">
        <v>362</v>
      </c>
      <c r="R99" s="144">
        <v>56.19</v>
      </c>
      <c r="S99" s="18"/>
      <c r="T99" s="18"/>
      <c r="U99" s="18"/>
      <c r="V99" s="18"/>
      <c r="W99" s="18"/>
      <c r="X99" s="18"/>
      <c r="Y99" s="18"/>
      <c r="Z99" s="18"/>
    </row>
    <row r="100" spans="1:26" ht="13">
      <c r="A100" s="156" t="s">
        <v>478</v>
      </c>
      <c r="B100" s="140">
        <f ca="1">IFERROR(__xludf.DUMMYFUNCTION("""COMPUTED_VALUE"""),2197680)</f>
        <v>2197680</v>
      </c>
      <c r="C100" s="157" t="s">
        <v>531</v>
      </c>
      <c r="D100" s="147" t="s">
        <v>532</v>
      </c>
      <c r="E100" s="142">
        <v>45512</v>
      </c>
      <c r="F100" s="140">
        <v>0</v>
      </c>
      <c r="G100" s="140">
        <v>0</v>
      </c>
      <c r="H100" s="140">
        <v>49.99</v>
      </c>
      <c r="I100" s="8">
        <v>0</v>
      </c>
      <c r="J100" s="8">
        <v>0</v>
      </c>
      <c r="K100" s="45">
        <v>49.99</v>
      </c>
      <c r="L100" s="140">
        <v>3</v>
      </c>
      <c r="M100" s="140">
        <v>2</v>
      </c>
      <c r="N100" s="140">
        <v>1</v>
      </c>
      <c r="O100" s="140">
        <v>1</v>
      </c>
      <c r="P100" s="111">
        <v>1</v>
      </c>
      <c r="Q100" s="140">
        <v>368</v>
      </c>
      <c r="R100" s="140">
        <v>54.29</v>
      </c>
      <c r="S100" s="158"/>
      <c r="T100" s="18"/>
      <c r="U100" s="18"/>
      <c r="V100" s="18"/>
      <c r="W100" s="18"/>
      <c r="X100" s="18"/>
      <c r="Y100" s="18"/>
      <c r="Z100" s="18"/>
    </row>
    <row r="101" spans="1:26" ht="13">
      <c r="A101" s="159" t="s">
        <v>483</v>
      </c>
      <c r="B101" s="140">
        <f ca="1">IFERROR(__xludf.DUMMYFUNCTION("""COMPUTED_VALUE"""),2719200)</f>
        <v>2719200</v>
      </c>
      <c r="C101" s="151" t="s">
        <v>533</v>
      </c>
      <c r="D101" s="140" t="s">
        <v>534</v>
      </c>
      <c r="E101" s="142">
        <v>45426</v>
      </c>
      <c r="F101" s="140">
        <v>0</v>
      </c>
      <c r="G101" s="140">
        <v>0</v>
      </c>
      <c r="H101" s="143">
        <v>49.99</v>
      </c>
      <c r="I101" s="8">
        <v>0</v>
      </c>
      <c r="J101" s="8">
        <v>0</v>
      </c>
      <c r="K101" s="8">
        <v>49.99</v>
      </c>
      <c r="L101" s="140">
        <v>3</v>
      </c>
      <c r="M101" s="140">
        <v>2</v>
      </c>
      <c r="N101" s="140">
        <v>1</v>
      </c>
      <c r="O101" s="140">
        <v>2</v>
      </c>
      <c r="P101" s="26">
        <v>0</v>
      </c>
      <c r="Q101" s="140">
        <v>509</v>
      </c>
      <c r="R101" s="144">
        <v>80.7</v>
      </c>
    </row>
    <row r="102" spans="1:26" ht="13">
      <c r="A102" s="160" t="s">
        <v>487</v>
      </c>
      <c r="B102" s="161">
        <f ca="1">IFERROR(__xludf.DUMMYFUNCTION("""COMPUTED_VALUE"""),1658920)</f>
        <v>1658920</v>
      </c>
      <c r="C102" s="162" t="s">
        <v>535</v>
      </c>
      <c r="D102" s="163" t="s">
        <v>536</v>
      </c>
      <c r="E102" s="164">
        <v>45436</v>
      </c>
      <c r="F102" s="161">
        <v>0</v>
      </c>
      <c r="G102" s="161">
        <v>0</v>
      </c>
      <c r="H102" s="165">
        <v>39.99</v>
      </c>
      <c r="I102" s="166">
        <v>0</v>
      </c>
      <c r="J102" s="166">
        <v>0</v>
      </c>
      <c r="K102" s="166">
        <v>39.99</v>
      </c>
      <c r="L102" s="161">
        <v>3</v>
      </c>
      <c r="M102" s="161">
        <v>2</v>
      </c>
      <c r="N102" s="161">
        <v>3</v>
      </c>
      <c r="O102" s="161">
        <v>1</v>
      </c>
      <c r="P102" s="167">
        <v>0</v>
      </c>
      <c r="Q102" s="161">
        <v>645</v>
      </c>
      <c r="R102" s="168">
        <v>58.71</v>
      </c>
    </row>
    <row r="103" spans="1:26" ht="12.5">
      <c r="B103" s="40" t="str">
        <f ca="1">IFERROR(__xludf.DUMMYFUNCTION("""COMPUTED_VALUE"""),"")</f>
        <v/>
      </c>
      <c r="E103" s="169"/>
    </row>
    <row r="104" spans="1:26" ht="12.5">
      <c r="B104" s="40" t="str">
        <f ca="1">IFERROR(__xludf.DUMMYFUNCTION("""COMPUTED_VALUE"""),"")</f>
        <v/>
      </c>
      <c r="E104" s="169"/>
    </row>
    <row r="105" spans="1:26" ht="12.5">
      <c r="B105" s="40" t="str">
        <f ca="1">IFERROR(__xludf.DUMMYFUNCTION("""COMPUTED_VALUE"""),"")</f>
        <v/>
      </c>
      <c r="E105" s="169"/>
    </row>
    <row r="106" spans="1:26" ht="12.5">
      <c r="B106" s="40" t="str">
        <f ca="1">IFERROR(__xludf.DUMMYFUNCTION("""COMPUTED_VALUE"""),"")</f>
        <v/>
      </c>
      <c r="E106" s="169"/>
    </row>
    <row r="107" spans="1:26" ht="12.5">
      <c r="B107" s="40" t="str">
        <f ca="1">IFERROR(__xludf.DUMMYFUNCTION("""COMPUTED_VALUE"""),"")</f>
        <v/>
      </c>
      <c r="E107" s="169"/>
    </row>
    <row r="108" spans="1:26" ht="12.5">
      <c r="B108" s="40" t="str">
        <f ca="1">IFERROR(__xludf.DUMMYFUNCTION("""COMPUTED_VALUE"""),"")</f>
        <v/>
      </c>
      <c r="E108" s="169"/>
    </row>
    <row r="109" spans="1:26" ht="12.5">
      <c r="B109" s="40" t="str">
        <f ca="1">IFERROR(__xludf.DUMMYFUNCTION("""COMPUTED_VALUE"""),"")</f>
        <v/>
      </c>
      <c r="E109" s="169"/>
    </row>
    <row r="110" spans="1:26" ht="12.5">
      <c r="B110" s="40" t="str">
        <f ca="1">IFERROR(__xludf.DUMMYFUNCTION("""COMPUTED_VALUE"""),"")</f>
        <v/>
      </c>
      <c r="E110" s="169"/>
    </row>
    <row r="111" spans="1:26" ht="12.5">
      <c r="B111" s="40" t="str">
        <f ca="1">IFERROR(__xludf.DUMMYFUNCTION("""COMPUTED_VALUE"""),"")</f>
        <v/>
      </c>
      <c r="E111" s="169"/>
    </row>
    <row r="112" spans="1:26" ht="12.5">
      <c r="B112" s="40" t="str">
        <f ca="1">IFERROR(__xludf.DUMMYFUNCTION("""COMPUTED_VALUE"""),"")</f>
        <v/>
      </c>
      <c r="E112" s="169"/>
    </row>
    <row r="113" spans="2:5" ht="12.5">
      <c r="B113" s="40" t="str">
        <f ca="1">IFERROR(__xludf.DUMMYFUNCTION("""COMPUTED_VALUE"""),"")</f>
        <v/>
      </c>
      <c r="E113" s="169"/>
    </row>
    <row r="114" spans="2:5" ht="12.5">
      <c r="B114" s="40" t="str">
        <f ca="1">IFERROR(__xludf.DUMMYFUNCTION("""COMPUTED_VALUE"""),"")</f>
        <v/>
      </c>
      <c r="E114" s="169"/>
    </row>
    <row r="115" spans="2:5" ht="12.5">
      <c r="B115" s="40" t="str">
        <f ca="1">IFERROR(__xludf.DUMMYFUNCTION("""COMPUTED_VALUE"""),"")</f>
        <v/>
      </c>
      <c r="E115" s="169"/>
    </row>
    <row r="116" spans="2:5" ht="12.5">
      <c r="B116" s="40" t="str">
        <f ca="1">IFERROR(__xludf.DUMMYFUNCTION("""COMPUTED_VALUE"""),"")</f>
        <v/>
      </c>
      <c r="E116" s="169"/>
    </row>
    <row r="117" spans="2:5" ht="12.5">
      <c r="B117" s="40" t="str">
        <f ca="1">IFERROR(__xludf.DUMMYFUNCTION("""COMPUTED_VALUE"""),"")</f>
        <v/>
      </c>
      <c r="E117" s="169"/>
    </row>
    <row r="118" spans="2:5" ht="12.5">
      <c r="B118" s="40" t="str">
        <f ca="1">IFERROR(__xludf.DUMMYFUNCTION("""COMPUTED_VALUE"""),"")</f>
        <v/>
      </c>
      <c r="E118" s="169"/>
    </row>
    <row r="119" spans="2:5" ht="12.5">
      <c r="B119" s="40" t="str">
        <f ca="1">IFERROR(__xludf.DUMMYFUNCTION("""COMPUTED_VALUE"""),"")</f>
        <v/>
      </c>
      <c r="E119" s="169"/>
    </row>
    <row r="120" spans="2:5" ht="12.5">
      <c r="B120" s="40" t="str">
        <f ca="1">IFERROR(__xludf.DUMMYFUNCTION("""COMPUTED_VALUE"""),"")</f>
        <v/>
      </c>
      <c r="E120" s="169"/>
    </row>
    <row r="121" spans="2:5" ht="12.5">
      <c r="B121" s="40" t="str">
        <f ca="1">IFERROR(__xludf.DUMMYFUNCTION("""COMPUTED_VALUE"""),"")</f>
        <v/>
      </c>
      <c r="E121" s="169"/>
    </row>
    <row r="122" spans="2:5" ht="12.5">
      <c r="B122" s="40" t="str">
        <f ca="1">IFERROR(__xludf.DUMMYFUNCTION("""COMPUTED_VALUE"""),"")</f>
        <v/>
      </c>
      <c r="E122" s="169"/>
    </row>
    <row r="123" spans="2:5" ht="12.5">
      <c r="B123" s="40" t="str">
        <f ca="1">IFERROR(__xludf.DUMMYFUNCTION("""COMPUTED_VALUE"""),"")</f>
        <v/>
      </c>
      <c r="E123" s="169"/>
    </row>
    <row r="124" spans="2:5" ht="12.5">
      <c r="B124" s="40" t="str">
        <f ca="1">IFERROR(__xludf.DUMMYFUNCTION("""COMPUTED_VALUE"""),"")</f>
        <v/>
      </c>
      <c r="E124" s="169"/>
    </row>
    <row r="125" spans="2:5" ht="12.5">
      <c r="B125" s="40" t="str">
        <f ca="1">IFERROR(__xludf.DUMMYFUNCTION("""COMPUTED_VALUE"""),"")</f>
        <v/>
      </c>
      <c r="E125" s="169"/>
    </row>
    <row r="126" spans="2:5" ht="12.5">
      <c r="B126" s="40" t="str">
        <f ca="1">IFERROR(__xludf.DUMMYFUNCTION("""COMPUTED_VALUE"""),"")</f>
        <v/>
      </c>
      <c r="E126" s="169"/>
    </row>
    <row r="127" spans="2:5" ht="12.5">
      <c r="B127" s="40" t="str">
        <f ca="1">IFERROR(__xludf.DUMMYFUNCTION("""COMPUTED_VALUE"""),"")</f>
        <v/>
      </c>
      <c r="E127" s="169"/>
    </row>
    <row r="128" spans="2:5" ht="12.5">
      <c r="B128" s="40" t="str">
        <f ca="1">IFERROR(__xludf.DUMMYFUNCTION("""COMPUTED_VALUE"""),"")</f>
        <v/>
      </c>
      <c r="E128" s="169"/>
    </row>
    <row r="129" spans="2:5" ht="12.5">
      <c r="B129" s="40" t="str">
        <f ca="1">IFERROR(__xludf.DUMMYFUNCTION("""COMPUTED_VALUE"""),"")</f>
        <v/>
      </c>
      <c r="E129" s="169"/>
    </row>
    <row r="130" spans="2:5" ht="12.5">
      <c r="B130" s="40" t="str">
        <f ca="1">IFERROR(__xludf.DUMMYFUNCTION("""COMPUTED_VALUE"""),"")</f>
        <v/>
      </c>
      <c r="E130" s="169"/>
    </row>
    <row r="131" spans="2:5" ht="12.5">
      <c r="B131" s="40" t="str">
        <f ca="1">IFERROR(__xludf.DUMMYFUNCTION("""COMPUTED_VALUE"""),"")</f>
        <v/>
      </c>
      <c r="E131" s="169"/>
    </row>
    <row r="132" spans="2:5" ht="12.5">
      <c r="B132" s="40" t="str">
        <f ca="1">IFERROR(__xludf.DUMMYFUNCTION("""COMPUTED_VALUE"""),"")</f>
        <v/>
      </c>
      <c r="E132" s="169"/>
    </row>
    <row r="133" spans="2:5" ht="12.5">
      <c r="B133" s="40" t="str">
        <f ca="1">IFERROR(__xludf.DUMMYFUNCTION("""COMPUTED_VALUE"""),"")</f>
        <v/>
      </c>
      <c r="E133" s="169"/>
    </row>
    <row r="134" spans="2:5" ht="12.5">
      <c r="B134" s="40" t="str">
        <f ca="1">IFERROR(__xludf.DUMMYFUNCTION("""COMPUTED_VALUE"""),"")</f>
        <v/>
      </c>
      <c r="E134" s="169"/>
    </row>
    <row r="135" spans="2:5" ht="12.5">
      <c r="B135" s="40" t="str">
        <f ca="1">IFERROR(__xludf.DUMMYFUNCTION("""COMPUTED_VALUE"""),"")</f>
        <v/>
      </c>
      <c r="E135" s="169"/>
    </row>
    <row r="136" spans="2:5" ht="12.5">
      <c r="B136" s="40" t="str">
        <f ca="1">IFERROR(__xludf.DUMMYFUNCTION("""COMPUTED_VALUE"""),"")</f>
        <v/>
      </c>
      <c r="E136" s="169"/>
    </row>
    <row r="137" spans="2:5" ht="12.5">
      <c r="B137" s="40" t="str">
        <f ca="1">IFERROR(__xludf.DUMMYFUNCTION("""COMPUTED_VALUE"""),"")</f>
        <v/>
      </c>
      <c r="E137" s="169"/>
    </row>
    <row r="138" spans="2:5" ht="12.5">
      <c r="B138" s="40" t="str">
        <f ca="1">IFERROR(__xludf.DUMMYFUNCTION("""COMPUTED_VALUE"""),"")</f>
        <v/>
      </c>
      <c r="E138" s="169"/>
    </row>
    <row r="139" spans="2:5" ht="12.5">
      <c r="B139" s="40" t="str">
        <f ca="1">IFERROR(__xludf.DUMMYFUNCTION("""COMPUTED_VALUE"""),"")</f>
        <v/>
      </c>
      <c r="E139" s="169"/>
    </row>
    <row r="140" spans="2:5" ht="12.5">
      <c r="B140" s="40" t="str">
        <f ca="1">IFERROR(__xludf.DUMMYFUNCTION("""COMPUTED_VALUE"""),"")</f>
        <v/>
      </c>
      <c r="E140" s="169"/>
    </row>
    <row r="141" spans="2:5" ht="12.5">
      <c r="B141" s="40" t="str">
        <f ca="1">IFERROR(__xludf.DUMMYFUNCTION("""COMPUTED_VALUE"""),"")</f>
        <v/>
      </c>
      <c r="E141" s="169"/>
    </row>
    <row r="142" spans="2:5" ht="12.5">
      <c r="B142" s="40" t="str">
        <f ca="1">IFERROR(__xludf.DUMMYFUNCTION("""COMPUTED_VALUE"""),"")</f>
        <v/>
      </c>
      <c r="E142" s="169"/>
    </row>
    <row r="143" spans="2:5" ht="12.5">
      <c r="B143" s="40" t="str">
        <f ca="1">IFERROR(__xludf.DUMMYFUNCTION("""COMPUTED_VALUE"""),"")</f>
        <v/>
      </c>
      <c r="E143" s="169"/>
    </row>
    <row r="144" spans="2:5" ht="12.5">
      <c r="B144" s="40" t="str">
        <f ca="1">IFERROR(__xludf.DUMMYFUNCTION("""COMPUTED_VALUE"""),"")</f>
        <v/>
      </c>
      <c r="E144" s="169"/>
    </row>
    <row r="145" spans="2:5" ht="12.5">
      <c r="B145" s="40" t="str">
        <f ca="1">IFERROR(__xludf.DUMMYFUNCTION("""COMPUTED_VALUE"""),"")</f>
        <v/>
      </c>
      <c r="E145" s="169"/>
    </row>
    <row r="146" spans="2:5" ht="12.5">
      <c r="B146" s="40" t="str">
        <f ca="1">IFERROR(__xludf.DUMMYFUNCTION("""COMPUTED_VALUE"""),"")</f>
        <v/>
      </c>
      <c r="E146" s="169"/>
    </row>
    <row r="147" spans="2:5" ht="12.5">
      <c r="B147" s="40" t="str">
        <f ca="1">IFERROR(__xludf.DUMMYFUNCTION("""COMPUTED_VALUE"""),"")</f>
        <v/>
      </c>
      <c r="E147" s="169"/>
    </row>
    <row r="148" spans="2:5" ht="12.5">
      <c r="B148" s="40" t="str">
        <f ca="1">IFERROR(__xludf.DUMMYFUNCTION("""COMPUTED_VALUE"""),"")</f>
        <v/>
      </c>
      <c r="E148" s="169"/>
    </row>
    <row r="149" spans="2:5" ht="12.5">
      <c r="B149" s="40" t="str">
        <f ca="1">IFERROR(__xludf.DUMMYFUNCTION("""COMPUTED_VALUE"""),"")</f>
        <v/>
      </c>
      <c r="E149" s="169"/>
    </row>
    <row r="150" spans="2:5" ht="12.5">
      <c r="B150" s="40" t="str">
        <f ca="1">IFERROR(__xludf.DUMMYFUNCTION("""COMPUTED_VALUE"""),"")</f>
        <v/>
      </c>
      <c r="E150" s="169"/>
    </row>
    <row r="151" spans="2:5" ht="12.5">
      <c r="B151" s="40" t="str">
        <f ca="1">IFERROR(__xludf.DUMMYFUNCTION("""COMPUTED_VALUE"""),"")</f>
        <v/>
      </c>
      <c r="E151" s="169"/>
    </row>
    <row r="152" spans="2:5" ht="12.5">
      <c r="B152" s="40" t="str">
        <f ca="1">IFERROR(__xludf.DUMMYFUNCTION("""COMPUTED_VALUE"""),"")</f>
        <v/>
      </c>
      <c r="E152" s="169"/>
    </row>
    <row r="153" spans="2:5" ht="12.5">
      <c r="B153" s="40" t="str">
        <f ca="1">IFERROR(__xludf.DUMMYFUNCTION("""COMPUTED_VALUE"""),"")</f>
        <v/>
      </c>
      <c r="E153" s="169"/>
    </row>
    <row r="154" spans="2:5" ht="12.5">
      <c r="B154" s="40" t="str">
        <f ca="1">IFERROR(__xludf.DUMMYFUNCTION("""COMPUTED_VALUE"""),"")</f>
        <v/>
      </c>
      <c r="E154" s="169"/>
    </row>
    <row r="155" spans="2:5" ht="12.5">
      <c r="B155" s="40" t="str">
        <f ca="1">IFERROR(__xludf.DUMMYFUNCTION("""COMPUTED_VALUE"""),"")</f>
        <v/>
      </c>
      <c r="E155" s="169"/>
    </row>
    <row r="156" spans="2:5" ht="12.5">
      <c r="B156" s="40" t="str">
        <f ca="1">IFERROR(__xludf.DUMMYFUNCTION("""COMPUTED_VALUE"""),"")</f>
        <v/>
      </c>
      <c r="E156" s="169"/>
    </row>
    <row r="157" spans="2:5" ht="12.5">
      <c r="B157" s="40" t="str">
        <f ca="1">IFERROR(__xludf.DUMMYFUNCTION("""COMPUTED_VALUE"""),"")</f>
        <v/>
      </c>
      <c r="E157" s="169"/>
    </row>
    <row r="158" spans="2:5" ht="12.5">
      <c r="B158" s="40" t="str">
        <f ca="1">IFERROR(__xludf.DUMMYFUNCTION("""COMPUTED_VALUE"""),"")</f>
        <v/>
      </c>
      <c r="E158" s="169"/>
    </row>
    <row r="159" spans="2:5" ht="12.5">
      <c r="B159" s="40" t="str">
        <f ca="1">IFERROR(__xludf.DUMMYFUNCTION("""COMPUTED_VALUE"""),"")</f>
        <v/>
      </c>
      <c r="E159" s="169"/>
    </row>
    <row r="160" spans="2:5" ht="12.5">
      <c r="B160" s="40" t="str">
        <f ca="1">IFERROR(__xludf.DUMMYFUNCTION("""COMPUTED_VALUE"""),"")</f>
        <v/>
      </c>
      <c r="E160" s="169"/>
    </row>
    <row r="161" spans="2:5" ht="12.5">
      <c r="B161" s="40" t="str">
        <f ca="1">IFERROR(__xludf.DUMMYFUNCTION("""COMPUTED_VALUE"""),"")</f>
        <v/>
      </c>
      <c r="E161" s="169"/>
    </row>
    <row r="162" spans="2:5" ht="12.5">
      <c r="B162" s="40" t="str">
        <f ca="1">IFERROR(__xludf.DUMMYFUNCTION("""COMPUTED_VALUE"""),"")</f>
        <v/>
      </c>
      <c r="E162" s="169"/>
    </row>
    <row r="163" spans="2:5" ht="12.5">
      <c r="B163" s="40" t="str">
        <f ca="1">IFERROR(__xludf.DUMMYFUNCTION("""COMPUTED_VALUE"""),"")</f>
        <v/>
      </c>
      <c r="E163" s="169"/>
    </row>
    <row r="164" spans="2:5" ht="12.5">
      <c r="B164" s="40" t="str">
        <f ca="1">IFERROR(__xludf.DUMMYFUNCTION("""COMPUTED_VALUE"""),"")</f>
        <v/>
      </c>
      <c r="E164" s="169"/>
    </row>
    <row r="165" spans="2:5" ht="12.5">
      <c r="B165" s="40" t="str">
        <f ca="1">IFERROR(__xludf.DUMMYFUNCTION("""COMPUTED_VALUE"""),"")</f>
        <v/>
      </c>
      <c r="E165" s="169"/>
    </row>
    <row r="166" spans="2:5" ht="12.5">
      <c r="B166" s="40" t="str">
        <f ca="1">IFERROR(__xludf.DUMMYFUNCTION("""COMPUTED_VALUE"""),"")</f>
        <v/>
      </c>
      <c r="E166" s="169"/>
    </row>
    <row r="167" spans="2:5" ht="12.5">
      <c r="B167" s="40" t="str">
        <f ca="1">IFERROR(__xludf.DUMMYFUNCTION("""COMPUTED_VALUE"""),"")</f>
        <v/>
      </c>
      <c r="E167" s="169"/>
    </row>
    <row r="168" spans="2:5" ht="12.5">
      <c r="B168" s="40" t="str">
        <f ca="1">IFERROR(__xludf.DUMMYFUNCTION("""COMPUTED_VALUE"""),"")</f>
        <v/>
      </c>
      <c r="E168" s="169"/>
    </row>
    <row r="169" spans="2:5" ht="12.5">
      <c r="B169" s="40" t="str">
        <f ca="1">IFERROR(__xludf.DUMMYFUNCTION("""COMPUTED_VALUE"""),"")</f>
        <v/>
      </c>
      <c r="E169" s="169"/>
    </row>
    <row r="170" spans="2:5" ht="12.5">
      <c r="B170" s="40" t="str">
        <f ca="1">IFERROR(__xludf.DUMMYFUNCTION("""COMPUTED_VALUE"""),"")</f>
        <v/>
      </c>
      <c r="E170" s="169"/>
    </row>
    <row r="171" spans="2:5" ht="12.5">
      <c r="B171" s="40" t="str">
        <f ca="1">IFERROR(__xludf.DUMMYFUNCTION("""COMPUTED_VALUE"""),"")</f>
        <v/>
      </c>
      <c r="E171" s="169"/>
    </row>
    <row r="172" spans="2:5" ht="12.5">
      <c r="B172" s="40" t="str">
        <f ca="1">IFERROR(__xludf.DUMMYFUNCTION("""COMPUTED_VALUE"""),"")</f>
        <v/>
      </c>
      <c r="E172" s="169"/>
    </row>
    <row r="173" spans="2:5" ht="12.5">
      <c r="B173" s="40" t="str">
        <f ca="1">IFERROR(__xludf.DUMMYFUNCTION("""COMPUTED_VALUE"""),"")</f>
        <v/>
      </c>
      <c r="E173" s="169"/>
    </row>
    <row r="174" spans="2:5" ht="12.5">
      <c r="B174" s="40" t="str">
        <f ca="1">IFERROR(__xludf.DUMMYFUNCTION("""COMPUTED_VALUE"""),"")</f>
        <v/>
      </c>
      <c r="E174" s="169"/>
    </row>
    <row r="175" spans="2:5" ht="12.5">
      <c r="B175" s="40" t="str">
        <f ca="1">IFERROR(__xludf.DUMMYFUNCTION("""COMPUTED_VALUE"""),"")</f>
        <v/>
      </c>
      <c r="E175" s="169"/>
    </row>
    <row r="176" spans="2:5" ht="12.5">
      <c r="B176" s="40" t="str">
        <f ca="1">IFERROR(__xludf.DUMMYFUNCTION("""COMPUTED_VALUE"""),"")</f>
        <v/>
      </c>
      <c r="E176" s="169"/>
    </row>
    <row r="177" spans="2:5" ht="12.5">
      <c r="B177" s="40" t="str">
        <f ca="1">IFERROR(__xludf.DUMMYFUNCTION("""COMPUTED_VALUE"""),"")</f>
        <v/>
      </c>
      <c r="E177" s="169"/>
    </row>
    <row r="178" spans="2:5" ht="12.5">
      <c r="B178" s="40" t="str">
        <f ca="1">IFERROR(__xludf.DUMMYFUNCTION("""COMPUTED_VALUE"""),"")</f>
        <v/>
      </c>
      <c r="E178" s="169"/>
    </row>
    <row r="179" spans="2:5" ht="12.5">
      <c r="B179" s="40" t="str">
        <f ca="1">IFERROR(__xludf.DUMMYFUNCTION("""COMPUTED_VALUE"""),"")</f>
        <v/>
      </c>
      <c r="E179" s="169"/>
    </row>
    <row r="180" spans="2:5" ht="12.5">
      <c r="B180" s="40" t="str">
        <f ca="1">IFERROR(__xludf.DUMMYFUNCTION("""COMPUTED_VALUE"""),"")</f>
        <v/>
      </c>
      <c r="E180" s="169"/>
    </row>
    <row r="181" spans="2:5" ht="12.5">
      <c r="B181" s="40" t="str">
        <f ca="1">IFERROR(__xludf.DUMMYFUNCTION("""COMPUTED_VALUE"""),"")</f>
        <v/>
      </c>
      <c r="E181" s="169"/>
    </row>
    <row r="182" spans="2:5" ht="12.5">
      <c r="B182" s="40" t="str">
        <f ca="1">IFERROR(__xludf.DUMMYFUNCTION("""COMPUTED_VALUE"""),"")</f>
        <v/>
      </c>
      <c r="E182" s="169"/>
    </row>
    <row r="183" spans="2:5" ht="12.5">
      <c r="B183" s="40" t="str">
        <f ca="1">IFERROR(__xludf.DUMMYFUNCTION("""COMPUTED_VALUE"""),"")</f>
        <v/>
      </c>
      <c r="E183" s="169"/>
    </row>
    <row r="184" spans="2:5" ht="12.5">
      <c r="B184" s="40" t="str">
        <f ca="1">IFERROR(__xludf.DUMMYFUNCTION("""COMPUTED_VALUE"""),"")</f>
        <v/>
      </c>
      <c r="E184" s="169"/>
    </row>
    <row r="185" spans="2:5" ht="12.5">
      <c r="B185" s="40" t="str">
        <f ca="1">IFERROR(__xludf.DUMMYFUNCTION("""COMPUTED_VALUE"""),"")</f>
        <v/>
      </c>
      <c r="E185" s="169"/>
    </row>
    <row r="186" spans="2:5" ht="12.5">
      <c r="B186" s="40" t="str">
        <f ca="1">IFERROR(__xludf.DUMMYFUNCTION("""COMPUTED_VALUE"""),"")</f>
        <v/>
      </c>
      <c r="E186" s="169"/>
    </row>
    <row r="187" spans="2:5" ht="12.5">
      <c r="B187" s="40" t="str">
        <f ca="1">IFERROR(__xludf.DUMMYFUNCTION("""COMPUTED_VALUE"""),"")</f>
        <v/>
      </c>
      <c r="E187" s="169"/>
    </row>
    <row r="188" spans="2:5" ht="12.5">
      <c r="B188" s="40" t="str">
        <f ca="1">IFERROR(__xludf.DUMMYFUNCTION("""COMPUTED_VALUE"""),"")</f>
        <v/>
      </c>
      <c r="E188" s="169"/>
    </row>
    <row r="189" spans="2:5" ht="12.5">
      <c r="B189" s="40" t="str">
        <f ca="1">IFERROR(__xludf.DUMMYFUNCTION("""COMPUTED_VALUE"""),"")</f>
        <v/>
      </c>
      <c r="E189" s="169"/>
    </row>
    <row r="190" spans="2:5" ht="12.5">
      <c r="B190" s="40" t="str">
        <f ca="1">IFERROR(__xludf.DUMMYFUNCTION("""COMPUTED_VALUE"""),"")</f>
        <v/>
      </c>
      <c r="E190" s="169"/>
    </row>
    <row r="191" spans="2:5" ht="12.5">
      <c r="B191" s="40" t="str">
        <f ca="1">IFERROR(__xludf.DUMMYFUNCTION("""COMPUTED_VALUE"""),"")</f>
        <v/>
      </c>
      <c r="E191" s="169"/>
    </row>
    <row r="192" spans="2:5" ht="12.5">
      <c r="B192" s="40" t="str">
        <f ca="1">IFERROR(__xludf.DUMMYFUNCTION("""COMPUTED_VALUE"""),"")</f>
        <v/>
      </c>
      <c r="E192" s="169"/>
    </row>
    <row r="193" spans="2:5" ht="12.5">
      <c r="B193" s="40" t="str">
        <f ca="1">IFERROR(__xludf.DUMMYFUNCTION("""COMPUTED_VALUE"""),"")</f>
        <v/>
      </c>
      <c r="E193" s="169"/>
    </row>
    <row r="194" spans="2:5" ht="12.5">
      <c r="B194" s="40" t="str">
        <f ca="1">IFERROR(__xludf.DUMMYFUNCTION("""COMPUTED_VALUE"""),"")</f>
        <v/>
      </c>
      <c r="E194" s="169"/>
    </row>
    <row r="195" spans="2:5" ht="12.5">
      <c r="B195" s="40" t="str">
        <f ca="1">IFERROR(__xludf.DUMMYFUNCTION("""COMPUTED_VALUE"""),"")</f>
        <v/>
      </c>
      <c r="E195" s="169"/>
    </row>
    <row r="196" spans="2:5" ht="12.5">
      <c r="B196" s="40" t="str">
        <f ca="1">IFERROR(__xludf.DUMMYFUNCTION("""COMPUTED_VALUE"""),"")</f>
        <v/>
      </c>
      <c r="E196" s="169"/>
    </row>
    <row r="197" spans="2:5" ht="12.5">
      <c r="B197" s="40" t="str">
        <f ca="1">IFERROR(__xludf.DUMMYFUNCTION("""COMPUTED_VALUE"""),"")</f>
        <v/>
      </c>
      <c r="E197" s="169"/>
    </row>
    <row r="198" spans="2:5" ht="12.5">
      <c r="B198" s="40" t="str">
        <f ca="1">IFERROR(__xludf.DUMMYFUNCTION("""COMPUTED_VALUE"""),"")</f>
        <v/>
      </c>
      <c r="E198" s="169"/>
    </row>
    <row r="199" spans="2:5" ht="12.5">
      <c r="B199" s="40" t="str">
        <f ca="1">IFERROR(__xludf.DUMMYFUNCTION("""COMPUTED_VALUE"""),"")</f>
        <v/>
      </c>
      <c r="E199" s="169"/>
    </row>
    <row r="200" spans="2:5" ht="12.5">
      <c r="B200" s="40" t="str">
        <f ca="1">IFERROR(__xludf.DUMMYFUNCTION("""COMPUTED_VALUE"""),"")</f>
        <v/>
      </c>
      <c r="E200" s="169"/>
    </row>
    <row r="201" spans="2:5" ht="12.5">
      <c r="B201" s="40" t="str">
        <f ca="1">IFERROR(__xludf.DUMMYFUNCTION("""COMPUTED_VALUE"""),"")</f>
        <v/>
      </c>
      <c r="E201" s="169"/>
    </row>
    <row r="202" spans="2:5" ht="12.5">
      <c r="B202" s="40" t="str">
        <f ca="1">IFERROR(__xludf.DUMMYFUNCTION("""COMPUTED_VALUE"""),"")</f>
        <v/>
      </c>
      <c r="E202" s="169"/>
    </row>
    <row r="203" spans="2:5" ht="12.5">
      <c r="B203" s="40" t="str">
        <f ca="1">IFERROR(__xludf.DUMMYFUNCTION("""COMPUTED_VALUE"""),"")</f>
        <v/>
      </c>
      <c r="E203" s="169"/>
    </row>
    <row r="204" spans="2:5" ht="12.5">
      <c r="B204" s="40" t="str">
        <f ca="1">IFERROR(__xludf.DUMMYFUNCTION("""COMPUTED_VALUE"""),"")</f>
        <v/>
      </c>
      <c r="E204" s="169"/>
    </row>
    <row r="205" spans="2:5" ht="12.5">
      <c r="B205" s="40" t="str">
        <f ca="1">IFERROR(__xludf.DUMMYFUNCTION("""COMPUTED_VALUE"""),"")</f>
        <v/>
      </c>
      <c r="E205" s="169"/>
    </row>
    <row r="206" spans="2:5" ht="12.5">
      <c r="B206" s="40" t="str">
        <f ca="1">IFERROR(__xludf.DUMMYFUNCTION("""COMPUTED_VALUE"""),"")</f>
        <v/>
      </c>
      <c r="E206" s="169"/>
    </row>
    <row r="207" spans="2:5" ht="12.5">
      <c r="B207" s="40" t="str">
        <f ca="1">IFERROR(__xludf.DUMMYFUNCTION("""COMPUTED_VALUE"""),"")</f>
        <v/>
      </c>
      <c r="E207" s="169"/>
    </row>
    <row r="208" spans="2:5" ht="12.5">
      <c r="B208" s="40" t="str">
        <f ca="1">IFERROR(__xludf.DUMMYFUNCTION("""COMPUTED_VALUE"""),"")</f>
        <v/>
      </c>
      <c r="E208" s="169"/>
    </row>
    <row r="209" spans="2:5" ht="12.5">
      <c r="B209" s="40" t="str">
        <f ca="1">IFERROR(__xludf.DUMMYFUNCTION("""COMPUTED_VALUE"""),"")</f>
        <v/>
      </c>
      <c r="E209" s="169"/>
    </row>
    <row r="210" spans="2:5" ht="12.5">
      <c r="B210" s="40" t="str">
        <f ca="1">IFERROR(__xludf.DUMMYFUNCTION("""COMPUTED_VALUE"""),"")</f>
        <v/>
      </c>
      <c r="E210" s="169"/>
    </row>
    <row r="211" spans="2:5" ht="12.5">
      <c r="B211" s="40" t="str">
        <f ca="1">IFERROR(__xludf.DUMMYFUNCTION("""COMPUTED_VALUE"""),"")</f>
        <v/>
      </c>
      <c r="E211" s="169"/>
    </row>
    <row r="212" spans="2:5" ht="12.5">
      <c r="B212" s="40" t="str">
        <f ca="1">IFERROR(__xludf.DUMMYFUNCTION("""COMPUTED_VALUE"""),"")</f>
        <v/>
      </c>
      <c r="E212" s="169"/>
    </row>
    <row r="213" spans="2:5" ht="12.5">
      <c r="B213" s="40" t="str">
        <f ca="1">IFERROR(__xludf.DUMMYFUNCTION("""COMPUTED_VALUE"""),"")</f>
        <v/>
      </c>
      <c r="E213" s="169"/>
    </row>
    <row r="214" spans="2:5" ht="12.5">
      <c r="B214" s="40" t="str">
        <f ca="1">IFERROR(__xludf.DUMMYFUNCTION("""COMPUTED_VALUE"""),"")</f>
        <v/>
      </c>
      <c r="E214" s="169"/>
    </row>
    <row r="215" spans="2:5" ht="12.5">
      <c r="B215" s="40" t="str">
        <f ca="1">IFERROR(__xludf.DUMMYFUNCTION("""COMPUTED_VALUE"""),"")</f>
        <v/>
      </c>
      <c r="E215" s="169"/>
    </row>
    <row r="216" spans="2:5" ht="12.5">
      <c r="B216" s="40" t="str">
        <f ca="1">IFERROR(__xludf.DUMMYFUNCTION("""COMPUTED_VALUE"""),"")</f>
        <v/>
      </c>
      <c r="E216" s="169"/>
    </row>
    <row r="217" spans="2:5" ht="12.5">
      <c r="B217" s="40" t="str">
        <f ca="1">IFERROR(__xludf.DUMMYFUNCTION("""COMPUTED_VALUE"""),"")</f>
        <v/>
      </c>
      <c r="E217" s="169"/>
    </row>
    <row r="218" spans="2:5" ht="12.5">
      <c r="B218" s="40" t="str">
        <f ca="1">IFERROR(__xludf.DUMMYFUNCTION("""COMPUTED_VALUE"""),"")</f>
        <v/>
      </c>
      <c r="E218" s="169"/>
    </row>
    <row r="219" spans="2:5" ht="12.5">
      <c r="B219" s="40" t="str">
        <f ca="1">IFERROR(__xludf.DUMMYFUNCTION("""COMPUTED_VALUE"""),"")</f>
        <v/>
      </c>
      <c r="E219" s="169"/>
    </row>
    <row r="220" spans="2:5" ht="12.5">
      <c r="B220" s="40" t="str">
        <f ca="1">IFERROR(__xludf.DUMMYFUNCTION("""COMPUTED_VALUE"""),"")</f>
        <v/>
      </c>
      <c r="E220" s="169"/>
    </row>
    <row r="221" spans="2:5" ht="12.5">
      <c r="B221" s="40" t="str">
        <f ca="1">IFERROR(__xludf.DUMMYFUNCTION("""COMPUTED_VALUE"""),"")</f>
        <v/>
      </c>
      <c r="E221" s="169"/>
    </row>
    <row r="222" spans="2:5" ht="12.5">
      <c r="B222" s="40" t="str">
        <f ca="1">IFERROR(__xludf.DUMMYFUNCTION("""COMPUTED_VALUE"""),"")</f>
        <v/>
      </c>
      <c r="E222" s="169"/>
    </row>
    <row r="223" spans="2:5" ht="12.5">
      <c r="B223" s="40" t="str">
        <f ca="1">IFERROR(__xludf.DUMMYFUNCTION("""COMPUTED_VALUE"""),"")</f>
        <v/>
      </c>
      <c r="E223" s="169"/>
    </row>
    <row r="224" spans="2:5" ht="12.5">
      <c r="B224" s="40" t="str">
        <f ca="1">IFERROR(__xludf.DUMMYFUNCTION("""COMPUTED_VALUE"""),"")</f>
        <v/>
      </c>
      <c r="E224" s="169"/>
    </row>
    <row r="225" spans="2:5" ht="12.5">
      <c r="B225" s="40" t="str">
        <f ca="1">IFERROR(__xludf.DUMMYFUNCTION("""COMPUTED_VALUE"""),"")</f>
        <v/>
      </c>
      <c r="E225" s="169"/>
    </row>
    <row r="226" spans="2:5" ht="12.5">
      <c r="B226" s="40" t="str">
        <f ca="1">IFERROR(__xludf.DUMMYFUNCTION("""COMPUTED_VALUE"""),"")</f>
        <v/>
      </c>
      <c r="E226" s="169"/>
    </row>
    <row r="227" spans="2:5" ht="12.5">
      <c r="B227" s="40" t="str">
        <f ca="1">IFERROR(__xludf.DUMMYFUNCTION("""COMPUTED_VALUE"""),"")</f>
        <v/>
      </c>
      <c r="E227" s="169"/>
    </row>
    <row r="228" spans="2:5" ht="12.5">
      <c r="B228" s="40" t="str">
        <f ca="1">IFERROR(__xludf.DUMMYFUNCTION("""COMPUTED_VALUE"""),"")</f>
        <v/>
      </c>
      <c r="E228" s="169"/>
    </row>
    <row r="229" spans="2:5" ht="12.5">
      <c r="B229" s="40" t="str">
        <f ca="1">IFERROR(__xludf.DUMMYFUNCTION("""COMPUTED_VALUE"""),"")</f>
        <v/>
      </c>
      <c r="E229" s="169"/>
    </row>
    <row r="230" spans="2:5" ht="12.5">
      <c r="B230" s="40" t="str">
        <f ca="1">IFERROR(__xludf.DUMMYFUNCTION("""COMPUTED_VALUE"""),"")</f>
        <v/>
      </c>
      <c r="E230" s="169"/>
    </row>
    <row r="231" spans="2:5" ht="12.5">
      <c r="B231" s="40" t="str">
        <f ca="1">IFERROR(__xludf.DUMMYFUNCTION("""COMPUTED_VALUE"""),"")</f>
        <v/>
      </c>
      <c r="E231" s="169"/>
    </row>
    <row r="232" spans="2:5" ht="12.5">
      <c r="B232" s="40" t="str">
        <f ca="1">IFERROR(__xludf.DUMMYFUNCTION("""COMPUTED_VALUE"""),"")</f>
        <v/>
      </c>
      <c r="E232" s="169"/>
    </row>
    <row r="233" spans="2:5" ht="12.5">
      <c r="B233" s="40" t="str">
        <f ca="1">IFERROR(__xludf.DUMMYFUNCTION("""COMPUTED_VALUE"""),"")</f>
        <v/>
      </c>
      <c r="E233" s="169"/>
    </row>
    <row r="234" spans="2:5" ht="12.5">
      <c r="B234" s="40" t="str">
        <f ca="1">IFERROR(__xludf.DUMMYFUNCTION("""COMPUTED_VALUE"""),"")</f>
        <v/>
      </c>
      <c r="E234" s="169"/>
    </row>
    <row r="235" spans="2:5" ht="12.5">
      <c r="B235" s="40" t="str">
        <f ca="1">IFERROR(__xludf.DUMMYFUNCTION("""COMPUTED_VALUE"""),"")</f>
        <v/>
      </c>
      <c r="E235" s="169"/>
    </row>
    <row r="236" spans="2:5" ht="12.5">
      <c r="B236" s="40" t="str">
        <f ca="1">IFERROR(__xludf.DUMMYFUNCTION("""COMPUTED_VALUE"""),"")</f>
        <v/>
      </c>
      <c r="E236" s="169"/>
    </row>
    <row r="237" spans="2:5" ht="12.5">
      <c r="B237" s="40" t="str">
        <f ca="1">IFERROR(__xludf.DUMMYFUNCTION("""COMPUTED_VALUE"""),"")</f>
        <v/>
      </c>
      <c r="E237" s="169"/>
    </row>
    <row r="238" spans="2:5" ht="12.5">
      <c r="B238" s="40" t="str">
        <f ca="1">IFERROR(__xludf.DUMMYFUNCTION("""COMPUTED_VALUE"""),"")</f>
        <v/>
      </c>
      <c r="E238" s="169"/>
    </row>
    <row r="239" spans="2:5" ht="12.5">
      <c r="B239" s="40" t="str">
        <f ca="1">IFERROR(__xludf.DUMMYFUNCTION("""COMPUTED_VALUE"""),"")</f>
        <v/>
      </c>
      <c r="E239" s="169"/>
    </row>
    <row r="240" spans="2:5" ht="12.5">
      <c r="B240" s="40" t="str">
        <f ca="1">IFERROR(__xludf.DUMMYFUNCTION("""COMPUTED_VALUE"""),"")</f>
        <v/>
      </c>
      <c r="E240" s="169"/>
    </row>
    <row r="241" spans="2:5" ht="12.5">
      <c r="B241" s="40" t="str">
        <f ca="1">IFERROR(__xludf.DUMMYFUNCTION("""COMPUTED_VALUE"""),"")</f>
        <v/>
      </c>
      <c r="E241" s="169"/>
    </row>
    <row r="242" spans="2:5" ht="12.5">
      <c r="B242" s="40" t="str">
        <f ca="1">IFERROR(__xludf.DUMMYFUNCTION("""COMPUTED_VALUE"""),"")</f>
        <v/>
      </c>
      <c r="E242" s="169"/>
    </row>
    <row r="243" spans="2:5" ht="12.5">
      <c r="B243" s="40" t="str">
        <f ca="1">IFERROR(__xludf.DUMMYFUNCTION("""COMPUTED_VALUE"""),"")</f>
        <v/>
      </c>
      <c r="E243" s="169"/>
    </row>
    <row r="244" spans="2:5" ht="12.5">
      <c r="B244" s="40" t="str">
        <f ca="1">IFERROR(__xludf.DUMMYFUNCTION("""COMPUTED_VALUE"""),"")</f>
        <v/>
      </c>
      <c r="E244" s="169"/>
    </row>
    <row r="245" spans="2:5" ht="12.5">
      <c r="B245" s="40" t="str">
        <f ca="1">IFERROR(__xludf.DUMMYFUNCTION("""COMPUTED_VALUE"""),"")</f>
        <v/>
      </c>
      <c r="E245" s="169"/>
    </row>
    <row r="246" spans="2:5" ht="12.5">
      <c r="B246" s="40" t="str">
        <f ca="1">IFERROR(__xludf.DUMMYFUNCTION("""COMPUTED_VALUE"""),"")</f>
        <v/>
      </c>
      <c r="E246" s="169"/>
    </row>
    <row r="247" spans="2:5" ht="12.5">
      <c r="B247" s="40" t="str">
        <f ca="1">IFERROR(__xludf.DUMMYFUNCTION("""COMPUTED_VALUE"""),"")</f>
        <v/>
      </c>
      <c r="E247" s="169"/>
    </row>
    <row r="248" spans="2:5" ht="12.5">
      <c r="B248" s="40" t="str">
        <f ca="1">IFERROR(__xludf.DUMMYFUNCTION("""COMPUTED_VALUE"""),"")</f>
        <v/>
      </c>
      <c r="E248" s="169"/>
    </row>
    <row r="249" spans="2:5" ht="12.5">
      <c r="B249" s="40" t="str">
        <f ca="1">IFERROR(__xludf.DUMMYFUNCTION("""COMPUTED_VALUE"""),"")</f>
        <v/>
      </c>
      <c r="E249" s="169"/>
    </row>
    <row r="250" spans="2:5" ht="12.5">
      <c r="B250" s="40" t="str">
        <f ca="1">IFERROR(__xludf.DUMMYFUNCTION("""COMPUTED_VALUE"""),"")</f>
        <v/>
      </c>
      <c r="E250" s="169"/>
    </row>
    <row r="251" spans="2:5" ht="12.5">
      <c r="B251" s="40" t="str">
        <f ca="1">IFERROR(__xludf.DUMMYFUNCTION("""COMPUTED_VALUE"""),"")</f>
        <v/>
      </c>
      <c r="E251" s="169"/>
    </row>
    <row r="252" spans="2:5" ht="12.5">
      <c r="B252" s="40" t="str">
        <f ca="1">IFERROR(__xludf.DUMMYFUNCTION("""COMPUTED_VALUE"""),"")</f>
        <v/>
      </c>
      <c r="E252" s="169"/>
    </row>
    <row r="253" spans="2:5" ht="12.5">
      <c r="B253" s="40" t="str">
        <f ca="1">IFERROR(__xludf.DUMMYFUNCTION("""COMPUTED_VALUE"""),"")</f>
        <v/>
      </c>
      <c r="E253" s="169"/>
    </row>
    <row r="254" spans="2:5" ht="12.5">
      <c r="B254" s="40" t="str">
        <f ca="1">IFERROR(__xludf.DUMMYFUNCTION("""COMPUTED_VALUE"""),"")</f>
        <v/>
      </c>
      <c r="E254" s="169"/>
    </row>
    <row r="255" spans="2:5" ht="12.5">
      <c r="B255" s="40" t="str">
        <f ca="1">IFERROR(__xludf.DUMMYFUNCTION("""COMPUTED_VALUE"""),"")</f>
        <v/>
      </c>
      <c r="E255" s="169"/>
    </row>
    <row r="256" spans="2:5" ht="12.5">
      <c r="B256" s="40" t="str">
        <f ca="1">IFERROR(__xludf.DUMMYFUNCTION("""COMPUTED_VALUE"""),"")</f>
        <v/>
      </c>
      <c r="E256" s="169"/>
    </row>
    <row r="257" spans="2:5" ht="12.5">
      <c r="B257" s="40" t="str">
        <f ca="1">IFERROR(__xludf.DUMMYFUNCTION("""COMPUTED_VALUE"""),"")</f>
        <v/>
      </c>
      <c r="E257" s="169"/>
    </row>
    <row r="258" spans="2:5" ht="12.5">
      <c r="B258" s="40" t="str">
        <f ca="1">IFERROR(__xludf.DUMMYFUNCTION("""COMPUTED_VALUE"""),"")</f>
        <v/>
      </c>
      <c r="E258" s="169"/>
    </row>
    <row r="259" spans="2:5" ht="12.5">
      <c r="B259" s="40" t="str">
        <f ca="1">IFERROR(__xludf.DUMMYFUNCTION("""COMPUTED_VALUE"""),"")</f>
        <v/>
      </c>
      <c r="E259" s="169"/>
    </row>
    <row r="260" spans="2:5" ht="12.5">
      <c r="B260" s="40" t="str">
        <f ca="1">IFERROR(__xludf.DUMMYFUNCTION("""COMPUTED_VALUE"""),"")</f>
        <v/>
      </c>
      <c r="E260" s="169"/>
    </row>
    <row r="261" spans="2:5" ht="12.5">
      <c r="B261" s="40" t="str">
        <f ca="1">IFERROR(__xludf.DUMMYFUNCTION("""COMPUTED_VALUE"""),"")</f>
        <v/>
      </c>
      <c r="E261" s="169"/>
    </row>
    <row r="262" spans="2:5" ht="12.5">
      <c r="B262" s="40" t="str">
        <f ca="1">IFERROR(__xludf.DUMMYFUNCTION("""COMPUTED_VALUE"""),"")</f>
        <v/>
      </c>
      <c r="E262" s="169"/>
    </row>
    <row r="263" spans="2:5" ht="12.5">
      <c r="B263" s="40" t="str">
        <f ca="1">IFERROR(__xludf.DUMMYFUNCTION("""COMPUTED_VALUE"""),"")</f>
        <v/>
      </c>
      <c r="E263" s="169"/>
    </row>
    <row r="264" spans="2:5" ht="12.5">
      <c r="B264" s="40" t="str">
        <f ca="1">IFERROR(__xludf.DUMMYFUNCTION("""COMPUTED_VALUE"""),"")</f>
        <v/>
      </c>
      <c r="E264" s="169"/>
    </row>
    <row r="265" spans="2:5" ht="12.5">
      <c r="B265" s="40" t="str">
        <f ca="1">IFERROR(__xludf.DUMMYFUNCTION("""COMPUTED_VALUE"""),"")</f>
        <v/>
      </c>
      <c r="E265" s="169"/>
    </row>
    <row r="266" spans="2:5" ht="12.5">
      <c r="B266" s="40" t="str">
        <f ca="1">IFERROR(__xludf.DUMMYFUNCTION("""COMPUTED_VALUE"""),"")</f>
        <v/>
      </c>
      <c r="E266" s="169"/>
    </row>
    <row r="267" spans="2:5" ht="12.5">
      <c r="B267" s="40" t="str">
        <f ca="1">IFERROR(__xludf.DUMMYFUNCTION("""COMPUTED_VALUE"""),"")</f>
        <v/>
      </c>
      <c r="E267" s="169"/>
    </row>
    <row r="268" spans="2:5" ht="12.5">
      <c r="B268" s="40" t="str">
        <f ca="1">IFERROR(__xludf.DUMMYFUNCTION("""COMPUTED_VALUE"""),"")</f>
        <v/>
      </c>
      <c r="E268" s="169"/>
    </row>
    <row r="269" spans="2:5" ht="12.5">
      <c r="B269" s="40" t="str">
        <f ca="1">IFERROR(__xludf.DUMMYFUNCTION("""COMPUTED_VALUE"""),"")</f>
        <v/>
      </c>
      <c r="E269" s="169"/>
    </row>
    <row r="270" spans="2:5" ht="12.5">
      <c r="B270" s="40" t="str">
        <f ca="1">IFERROR(__xludf.DUMMYFUNCTION("""COMPUTED_VALUE"""),"")</f>
        <v/>
      </c>
      <c r="E270" s="169"/>
    </row>
    <row r="271" spans="2:5" ht="12.5">
      <c r="B271" s="40" t="str">
        <f ca="1">IFERROR(__xludf.DUMMYFUNCTION("""COMPUTED_VALUE"""),"")</f>
        <v/>
      </c>
      <c r="E271" s="169"/>
    </row>
    <row r="272" spans="2:5" ht="12.5">
      <c r="B272" s="40" t="str">
        <f ca="1">IFERROR(__xludf.DUMMYFUNCTION("""COMPUTED_VALUE"""),"")</f>
        <v/>
      </c>
      <c r="E272" s="169"/>
    </row>
    <row r="273" spans="2:5" ht="12.5">
      <c r="B273" s="40" t="str">
        <f ca="1">IFERROR(__xludf.DUMMYFUNCTION("""COMPUTED_VALUE"""),"")</f>
        <v/>
      </c>
      <c r="E273" s="169"/>
    </row>
    <row r="274" spans="2:5" ht="12.5">
      <c r="B274" s="40" t="str">
        <f ca="1">IFERROR(__xludf.DUMMYFUNCTION("""COMPUTED_VALUE"""),"")</f>
        <v/>
      </c>
      <c r="E274" s="169"/>
    </row>
    <row r="275" spans="2:5" ht="12.5">
      <c r="B275" s="40" t="str">
        <f ca="1">IFERROR(__xludf.DUMMYFUNCTION("""COMPUTED_VALUE"""),"")</f>
        <v/>
      </c>
      <c r="E275" s="169"/>
    </row>
    <row r="276" spans="2:5" ht="12.5">
      <c r="B276" s="40" t="str">
        <f ca="1">IFERROR(__xludf.DUMMYFUNCTION("""COMPUTED_VALUE"""),"")</f>
        <v/>
      </c>
      <c r="E276" s="169"/>
    </row>
    <row r="277" spans="2:5" ht="12.5">
      <c r="B277" s="40" t="str">
        <f ca="1">IFERROR(__xludf.DUMMYFUNCTION("""COMPUTED_VALUE"""),"")</f>
        <v/>
      </c>
      <c r="E277" s="169"/>
    </row>
    <row r="278" spans="2:5" ht="12.5">
      <c r="B278" s="40" t="str">
        <f ca="1">IFERROR(__xludf.DUMMYFUNCTION("""COMPUTED_VALUE"""),"")</f>
        <v/>
      </c>
      <c r="E278" s="169"/>
    </row>
    <row r="279" spans="2:5" ht="12.5">
      <c r="B279" s="40" t="str">
        <f ca="1">IFERROR(__xludf.DUMMYFUNCTION("""COMPUTED_VALUE"""),"")</f>
        <v/>
      </c>
      <c r="E279" s="169"/>
    </row>
    <row r="280" spans="2:5" ht="12.5">
      <c r="B280" s="40" t="str">
        <f ca="1">IFERROR(__xludf.DUMMYFUNCTION("""COMPUTED_VALUE"""),"")</f>
        <v/>
      </c>
      <c r="E280" s="169"/>
    </row>
    <row r="281" spans="2:5" ht="12.5">
      <c r="B281" s="40" t="str">
        <f ca="1">IFERROR(__xludf.DUMMYFUNCTION("""COMPUTED_VALUE"""),"")</f>
        <v/>
      </c>
      <c r="E281" s="169"/>
    </row>
    <row r="282" spans="2:5" ht="12.5">
      <c r="B282" s="40" t="str">
        <f ca="1">IFERROR(__xludf.DUMMYFUNCTION("""COMPUTED_VALUE"""),"")</f>
        <v/>
      </c>
      <c r="E282" s="169"/>
    </row>
    <row r="283" spans="2:5" ht="12.5">
      <c r="B283" s="40" t="str">
        <f ca="1">IFERROR(__xludf.DUMMYFUNCTION("""COMPUTED_VALUE"""),"")</f>
        <v/>
      </c>
      <c r="E283" s="169"/>
    </row>
    <row r="284" spans="2:5" ht="12.5">
      <c r="B284" s="40" t="str">
        <f ca="1">IFERROR(__xludf.DUMMYFUNCTION("""COMPUTED_VALUE"""),"")</f>
        <v/>
      </c>
      <c r="E284" s="169"/>
    </row>
    <row r="285" spans="2:5" ht="12.5">
      <c r="B285" s="40" t="str">
        <f ca="1">IFERROR(__xludf.DUMMYFUNCTION("""COMPUTED_VALUE"""),"")</f>
        <v/>
      </c>
      <c r="E285" s="169"/>
    </row>
    <row r="286" spans="2:5" ht="12.5">
      <c r="B286" s="40" t="str">
        <f ca="1">IFERROR(__xludf.DUMMYFUNCTION("""COMPUTED_VALUE"""),"")</f>
        <v/>
      </c>
      <c r="E286" s="169"/>
    </row>
    <row r="287" spans="2:5" ht="12.5">
      <c r="B287" s="40" t="str">
        <f ca="1">IFERROR(__xludf.DUMMYFUNCTION("""COMPUTED_VALUE"""),"")</f>
        <v/>
      </c>
      <c r="E287" s="169"/>
    </row>
    <row r="288" spans="2:5" ht="12.5">
      <c r="B288" s="40" t="str">
        <f ca="1">IFERROR(__xludf.DUMMYFUNCTION("""COMPUTED_VALUE"""),"")</f>
        <v/>
      </c>
      <c r="E288" s="169"/>
    </row>
    <row r="289" spans="2:5" ht="12.5">
      <c r="B289" s="40" t="str">
        <f ca="1">IFERROR(__xludf.DUMMYFUNCTION("""COMPUTED_VALUE"""),"")</f>
        <v/>
      </c>
      <c r="E289" s="169"/>
    </row>
    <row r="290" spans="2:5" ht="12.5">
      <c r="B290" s="40" t="str">
        <f ca="1">IFERROR(__xludf.DUMMYFUNCTION("""COMPUTED_VALUE"""),"")</f>
        <v/>
      </c>
      <c r="E290" s="169"/>
    </row>
    <row r="291" spans="2:5" ht="12.5">
      <c r="B291" s="40" t="str">
        <f ca="1">IFERROR(__xludf.DUMMYFUNCTION("""COMPUTED_VALUE"""),"")</f>
        <v/>
      </c>
      <c r="E291" s="169"/>
    </row>
    <row r="292" spans="2:5" ht="12.5">
      <c r="B292" s="40" t="str">
        <f ca="1">IFERROR(__xludf.DUMMYFUNCTION("""COMPUTED_VALUE"""),"")</f>
        <v/>
      </c>
      <c r="E292" s="169"/>
    </row>
    <row r="293" spans="2:5" ht="12.5">
      <c r="B293" s="40" t="str">
        <f ca="1">IFERROR(__xludf.DUMMYFUNCTION("""COMPUTED_VALUE"""),"")</f>
        <v/>
      </c>
      <c r="E293" s="169"/>
    </row>
    <row r="294" spans="2:5" ht="12.5">
      <c r="B294" s="40" t="str">
        <f ca="1">IFERROR(__xludf.DUMMYFUNCTION("""COMPUTED_VALUE"""),"")</f>
        <v/>
      </c>
      <c r="E294" s="169"/>
    </row>
    <row r="295" spans="2:5" ht="12.5">
      <c r="B295" s="40" t="str">
        <f ca="1">IFERROR(__xludf.DUMMYFUNCTION("""COMPUTED_VALUE"""),"")</f>
        <v/>
      </c>
      <c r="E295" s="169"/>
    </row>
    <row r="296" spans="2:5" ht="12.5">
      <c r="B296" s="40" t="str">
        <f ca="1">IFERROR(__xludf.DUMMYFUNCTION("""COMPUTED_VALUE"""),"")</f>
        <v/>
      </c>
      <c r="E296" s="169"/>
    </row>
    <row r="297" spans="2:5" ht="12.5">
      <c r="B297" s="40" t="str">
        <f ca="1">IFERROR(__xludf.DUMMYFUNCTION("""COMPUTED_VALUE"""),"")</f>
        <v/>
      </c>
      <c r="E297" s="169"/>
    </row>
    <row r="298" spans="2:5" ht="12.5">
      <c r="B298" s="40" t="str">
        <f ca="1">IFERROR(__xludf.DUMMYFUNCTION("""COMPUTED_VALUE"""),"")</f>
        <v/>
      </c>
      <c r="E298" s="169"/>
    </row>
    <row r="299" spans="2:5" ht="12.5">
      <c r="B299" s="40" t="str">
        <f ca="1">IFERROR(__xludf.DUMMYFUNCTION("""COMPUTED_VALUE"""),"")</f>
        <v/>
      </c>
      <c r="E299" s="169"/>
    </row>
    <row r="300" spans="2:5" ht="12.5">
      <c r="B300" s="40" t="str">
        <f ca="1">IFERROR(__xludf.DUMMYFUNCTION("""COMPUTED_VALUE"""),"")</f>
        <v/>
      </c>
      <c r="E300" s="169"/>
    </row>
    <row r="301" spans="2:5" ht="12.5">
      <c r="B301" s="40" t="str">
        <f ca="1">IFERROR(__xludf.DUMMYFUNCTION("""COMPUTED_VALUE"""),"")</f>
        <v/>
      </c>
      <c r="E301" s="169"/>
    </row>
    <row r="302" spans="2:5" ht="12.5">
      <c r="B302" s="40" t="str">
        <f ca="1">IFERROR(__xludf.DUMMYFUNCTION("""COMPUTED_VALUE"""),"")</f>
        <v/>
      </c>
      <c r="E302" s="169"/>
    </row>
    <row r="303" spans="2:5" ht="12.5">
      <c r="B303" s="40" t="str">
        <f ca="1">IFERROR(__xludf.DUMMYFUNCTION("""COMPUTED_VALUE"""),"")</f>
        <v/>
      </c>
      <c r="E303" s="169"/>
    </row>
    <row r="304" spans="2:5" ht="12.5">
      <c r="B304" s="40" t="str">
        <f ca="1">IFERROR(__xludf.DUMMYFUNCTION("""COMPUTED_VALUE"""),"")</f>
        <v/>
      </c>
      <c r="E304" s="169"/>
    </row>
    <row r="305" spans="2:5" ht="12.5">
      <c r="B305" s="40" t="str">
        <f ca="1">IFERROR(__xludf.DUMMYFUNCTION("""COMPUTED_VALUE"""),"")</f>
        <v/>
      </c>
      <c r="E305" s="169"/>
    </row>
    <row r="306" spans="2:5" ht="12.5">
      <c r="B306" s="40" t="str">
        <f ca="1">IFERROR(__xludf.DUMMYFUNCTION("""COMPUTED_VALUE"""),"")</f>
        <v/>
      </c>
      <c r="E306" s="169"/>
    </row>
    <row r="307" spans="2:5" ht="12.5">
      <c r="B307" s="40" t="str">
        <f ca="1">IFERROR(__xludf.DUMMYFUNCTION("""COMPUTED_VALUE"""),"")</f>
        <v/>
      </c>
      <c r="E307" s="169"/>
    </row>
    <row r="308" spans="2:5" ht="12.5">
      <c r="B308" s="40" t="str">
        <f ca="1">IFERROR(__xludf.DUMMYFUNCTION("""COMPUTED_VALUE"""),"")</f>
        <v/>
      </c>
      <c r="E308" s="169"/>
    </row>
    <row r="309" spans="2:5" ht="12.5">
      <c r="B309" s="40" t="str">
        <f ca="1">IFERROR(__xludf.DUMMYFUNCTION("""COMPUTED_VALUE"""),"")</f>
        <v/>
      </c>
      <c r="E309" s="169"/>
    </row>
    <row r="310" spans="2:5" ht="12.5">
      <c r="B310" s="40" t="str">
        <f ca="1">IFERROR(__xludf.DUMMYFUNCTION("""COMPUTED_VALUE"""),"")</f>
        <v/>
      </c>
      <c r="E310" s="169"/>
    </row>
    <row r="311" spans="2:5" ht="12.5">
      <c r="B311" s="40" t="str">
        <f ca="1">IFERROR(__xludf.DUMMYFUNCTION("""COMPUTED_VALUE"""),"")</f>
        <v/>
      </c>
      <c r="E311" s="169"/>
    </row>
    <row r="312" spans="2:5" ht="12.5">
      <c r="B312" s="40" t="str">
        <f ca="1">IFERROR(__xludf.DUMMYFUNCTION("""COMPUTED_VALUE"""),"")</f>
        <v/>
      </c>
      <c r="E312" s="169"/>
    </row>
    <row r="313" spans="2:5" ht="12.5">
      <c r="B313" s="40" t="str">
        <f ca="1">IFERROR(__xludf.DUMMYFUNCTION("""COMPUTED_VALUE"""),"")</f>
        <v/>
      </c>
      <c r="E313" s="169"/>
    </row>
    <row r="314" spans="2:5" ht="12.5">
      <c r="B314" s="40" t="str">
        <f ca="1">IFERROR(__xludf.DUMMYFUNCTION("""COMPUTED_VALUE"""),"")</f>
        <v/>
      </c>
      <c r="E314" s="169"/>
    </row>
    <row r="315" spans="2:5" ht="12.5">
      <c r="B315" s="40" t="str">
        <f ca="1">IFERROR(__xludf.DUMMYFUNCTION("""COMPUTED_VALUE"""),"")</f>
        <v/>
      </c>
      <c r="E315" s="169"/>
    </row>
    <row r="316" spans="2:5" ht="12.5">
      <c r="B316" s="40" t="str">
        <f ca="1">IFERROR(__xludf.DUMMYFUNCTION("""COMPUTED_VALUE"""),"")</f>
        <v/>
      </c>
      <c r="E316" s="169"/>
    </row>
    <row r="317" spans="2:5" ht="12.5">
      <c r="B317" s="40" t="str">
        <f ca="1">IFERROR(__xludf.DUMMYFUNCTION("""COMPUTED_VALUE"""),"")</f>
        <v/>
      </c>
      <c r="E317" s="169"/>
    </row>
    <row r="318" spans="2:5" ht="12.5">
      <c r="B318" s="40" t="str">
        <f ca="1">IFERROR(__xludf.DUMMYFUNCTION("""COMPUTED_VALUE"""),"")</f>
        <v/>
      </c>
      <c r="E318" s="169"/>
    </row>
    <row r="319" spans="2:5" ht="12.5">
      <c r="B319" s="40" t="str">
        <f ca="1">IFERROR(__xludf.DUMMYFUNCTION("""COMPUTED_VALUE"""),"")</f>
        <v/>
      </c>
      <c r="E319" s="169"/>
    </row>
    <row r="320" spans="2:5" ht="12.5">
      <c r="B320" s="40" t="str">
        <f ca="1">IFERROR(__xludf.DUMMYFUNCTION("""COMPUTED_VALUE"""),"")</f>
        <v/>
      </c>
      <c r="E320" s="169"/>
    </row>
    <row r="321" spans="2:5" ht="12.5">
      <c r="B321" s="40" t="str">
        <f ca="1">IFERROR(__xludf.DUMMYFUNCTION("""COMPUTED_VALUE"""),"")</f>
        <v/>
      </c>
      <c r="E321" s="169"/>
    </row>
    <row r="322" spans="2:5" ht="12.5">
      <c r="B322" s="40" t="str">
        <f ca="1">IFERROR(__xludf.DUMMYFUNCTION("""COMPUTED_VALUE"""),"")</f>
        <v/>
      </c>
      <c r="E322" s="169"/>
    </row>
    <row r="323" spans="2:5" ht="12.5">
      <c r="B323" s="40" t="str">
        <f ca="1">IFERROR(__xludf.DUMMYFUNCTION("""COMPUTED_VALUE"""),"")</f>
        <v/>
      </c>
      <c r="E323" s="169"/>
    </row>
    <row r="324" spans="2:5" ht="12.5">
      <c r="B324" s="40" t="str">
        <f ca="1">IFERROR(__xludf.DUMMYFUNCTION("""COMPUTED_VALUE"""),"")</f>
        <v/>
      </c>
      <c r="E324" s="169"/>
    </row>
    <row r="325" spans="2:5" ht="12.5">
      <c r="B325" s="40" t="str">
        <f ca="1">IFERROR(__xludf.DUMMYFUNCTION("""COMPUTED_VALUE"""),"")</f>
        <v/>
      </c>
      <c r="E325" s="169"/>
    </row>
    <row r="326" spans="2:5" ht="12.5">
      <c r="B326" s="40" t="str">
        <f ca="1">IFERROR(__xludf.DUMMYFUNCTION("""COMPUTED_VALUE"""),"")</f>
        <v/>
      </c>
      <c r="E326" s="169"/>
    </row>
    <row r="327" spans="2:5" ht="12.5">
      <c r="B327" s="40" t="str">
        <f ca="1">IFERROR(__xludf.DUMMYFUNCTION("""COMPUTED_VALUE"""),"")</f>
        <v/>
      </c>
      <c r="E327" s="169"/>
    </row>
    <row r="328" spans="2:5" ht="12.5">
      <c r="B328" s="40" t="str">
        <f ca="1">IFERROR(__xludf.DUMMYFUNCTION("""COMPUTED_VALUE"""),"")</f>
        <v/>
      </c>
      <c r="E328" s="169"/>
    </row>
    <row r="329" spans="2:5" ht="12.5">
      <c r="B329" s="40" t="str">
        <f ca="1">IFERROR(__xludf.DUMMYFUNCTION("""COMPUTED_VALUE"""),"")</f>
        <v/>
      </c>
      <c r="E329" s="169"/>
    </row>
    <row r="330" spans="2:5" ht="12.5">
      <c r="B330" s="40" t="str">
        <f ca="1">IFERROR(__xludf.DUMMYFUNCTION("""COMPUTED_VALUE"""),"")</f>
        <v/>
      </c>
      <c r="E330" s="169"/>
    </row>
    <row r="331" spans="2:5" ht="12.5">
      <c r="B331" s="40" t="str">
        <f ca="1">IFERROR(__xludf.DUMMYFUNCTION("""COMPUTED_VALUE"""),"")</f>
        <v/>
      </c>
      <c r="E331" s="169"/>
    </row>
    <row r="332" spans="2:5" ht="12.5">
      <c r="B332" s="40" t="str">
        <f ca="1">IFERROR(__xludf.DUMMYFUNCTION("""COMPUTED_VALUE"""),"")</f>
        <v/>
      </c>
      <c r="E332" s="169"/>
    </row>
    <row r="333" spans="2:5" ht="12.5">
      <c r="B333" s="40" t="str">
        <f ca="1">IFERROR(__xludf.DUMMYFUNCTION("""COMPUTED_VALUE"""),"")</f>
        <v/>
      </c>
      <c r="E333" s="169"/>
    </row>
    <row r="334" spans="2:5" ht="12.5">
      <c r="B334" s="40" t="str">
        <f ca="1">IFERROR(__xludf.DUMMYFUNCTION("""COMPUTED_VALUE"""),"")</f>
        <v/>
      </c>
      <c r="E334" s="169"/>
    </row>
    <row r="335" spans="2:5" ht="12.5">
      <c r="B335" s="40" t="str">
        <f ca="1">IFERROR(__xludf.DUMMYFUNCTION("""COMPUTED_VALUE"""),"")</f>
        <v/>
      </c>
      <c r="E335" s="169"/>
    </row>
    <row r="336" spans="2:5" ht="12.5">
      <c r="B336" s="40" t="str">
        <f ca="1">IFERROR(__xludf.DUMMYFUNCTION("""COMPUTED_VALUE"""),"")</f>
        <v/>
      </c>
      <c r="E336" s="169"/>
    </row>
    <row r="337" spans="2:5" ht="12.5">
      <c r="B337" s="40" t="str">
        <f ca="1">IFERROR(__xludf.DUMMYFUNCTION("""COMPUTED_VALUE"""),"")</f>
        <v/>
      </c>
      <c r="E337" s="169"/>
    </row>
    <row r="338" spans="2:5" ht="12.5">
      <c r="B338" s="40" t="str">
        <f ca="1">IFERROR(__xludf.DUMMYFUNCTION("""COMPUTED_VALUE"""),"")</f>
        <v/>
      </c>
      <c r="E338" s="169"/>
    </row>
    <row r="339" spans="2:5" ht="12.5">
      <c r="B339" s="40" t="str">
        <f ca="1">IFERROR(__xludf.DUMMYFUNCTION("""COMPUTED_VALUE"""),"")</f>
        <v/>
      </c>
      <c r="E339" s="169"/>
    </row>
    <row r="340" spans="2:5" ht="12.5">
      <c r="B340" s="40" t="str">
        <f ca="1">IFERROR(__xludf.DUMMYFUNCTION("""COMPUTED_VALUE"""),"")</f>
        <v/>
      </c>
      <c r="E340" s="169"/>
    </row>
    <row r="341" spans="2:5" ht="12.5">
      <c r="B341" s="40" t="str">
        <f ca="1">IFERROR(__xludf.DUMMYFUNCTION("""COMPUTED_VALUE"""),"")</f>
        <v/>
      </c>
      <c r="E341" s="169"/>
    </row>
    <row r="342" spans="2:5" ht="12.5">
      <c r="B342" s="40" t="str">
        <f ca="1">IFERROR(__xludf.DUMMYFUNCTION("""COMPUTED_VALUE"""),"")</f>
        <v/>
      </c>
      <c r="E342" s="169"/>
    </row>
    <row r="343" spans="2:5" ht="12.5">
      <c r="B343" s="40" t="str">
        <f ca="1">IFERROR(__xludf.DUMMYFUNCTION("""COMPUTED_VALUE"""),"")</f>
        <v/>
      </c>
      <c r="E343" s="169"/>
    </row>
    <row r="344" spans="2:5" ht="12.5">
      <c r="B344" s="40" t="str">
        <f ca="1">IFERROR(__xludf.DUMMYFUNCTION("""COMPUTED_VALUE"""),"")</f>
        <v/>
      </c>
      <c r="E344" s="169"/>
    </row>
    <row r="345" spans="2:5" ht="12.5">
      <c r="B345" s="40" t="str">
        <f ca="1">IFERROR(__xludf.DUMMYFUNCTION("""COMPUTED_VALUE"""),"")</f>
        <v/>
      </c>
      <c r="E345" s="169"/>
    </row>
    <row r="346" spans="2:5" ht="12.5">
      <c r="B346" s="40" t="str">
        <f ca="1">IFERROR(__xludf.DUMMYFUNCTION("""COMPUTED_VALUE"""),"")</f>
        <v/>
      </c>
      <c r="E346" s="169"/>
    </row>
    <row r="347" spans="2:5" ht="12.5">
      <c r="B347" s="40" t="str">
        <f ca="1">IFERROR(__xludf.DUMMYFUNCTION("""COMPUTED_VALUE"""),"")</f>
        <v/>
      </c>
      <c r="E347" s="169"/>
    </row>
    <row r="348" spans="2:5" ht="12.5">
      <c r="B348" s="40" t="str">
        <f ca="1">IFERROR(__xludf.DUMMYFUNCTION("""COMPUTED_VALUE"""),"")</f>
        <v/>
      </c>
      <c r="E348" s="169"/>
    </row>
    <row r="349" spans="2:5" ht="12.5">
      <c r="B349" s="40" t="str">
        <f ca="1">IFERROR(__xludf.DUMMYFUNCTION("""COMPUTED_VALUE"""),"")</f>
        <v/>
      </c>
      <c r="E349" s="169"/>
    </row>
    <row r="350" spans="2:5" ht="12.5">
      <c r="B350" s="40" t="str">
        <f ca="1">IFERROR(__xludf.DUMMYFUNCTION("""COMPUTED_VALUE"""),"")</f>
        <v/>
      </c>
      <c r="E350" s="169"/>
    </row>
    <row r="351" spans="2:5" ht="12.5">
      <c r="B351" s="40" t="str">
        <f ca="1">IFERROR(__xludf.DUMMYFUNCTION("""COMPUTED_VALUE"""),"")</f>
        <v/>
      </c>
      <c r="E351" s="169"/>
    </row>
    <row r="352" spans="2:5" ht="12.5">
      <c r="B352" s="40" t="str">
        <f ca="1">IFERROR(__xludf.DUMMYFUNCTION("""COMPUTED_VALUE"""),"")</f>
        <v/>
      </c>
      <c r="E352" s="169"/>
    </row>
    <row r="353" spans="2:5" ht="12.5">
      <c r="B353" s="40" t="str">
        <f ca="1">IFERROR(__xludf.DUMMYFUNCTION("""COMPUTED_VALUE"""),"")</f>
        <v/>
      </c>
      <c r="E353" s="169"/>
    </row>
    <row r="354" spans="2:5" ht="12.5">
      <c r="B354" s="40" t="str">
        <f ca="1">IFERROR(__xludf.DUMMYFUNCTION("""COMPUTED_VALUE"""),"")</f>
        <v/>
      </c>
      <c r="E354" s="169"/>
    </row>
    <row r="355" spans="2:5" ht="12.5">
      <c r="B355" s="40" t="str">
        <f ca="1">IFERROR(__xludf.DUMMYFUNCTION("""COMPUTED_VALUE"""),"")</f>
        <v/>
      </c>
      <c r="E355" s="169"/>
    </row>
    <row r="356" spans="2:5" ht="12.5">
      <c r="B356" s="40" t="str">
        <f ca="1">IFERROR(__xludf.DUMMYFUNCTION("""COMPUTED_VALUE"""),"")</f>
        <v/>
      </c>
      <c r="E356" s="169"/>
    </row>
    <row r="357" spans="2:5" ht="12.5">
      <c r="B357" s="40" t="str">
        <f ca="1">IFERROR(__xludf.DUMMYFUNCTION("""COMPUTED_VALUE"""),"")</f>
        <v/>
      </c>
      <c r="E357" s="169"/>
    </row>
    <row r="358" spans="2:5" ht="12.5">
      <c r="B358" s="40" t="str">
        <f ca="1">IFERROR(__xludf.DUMMYFUNCTION("""COMPUTED_VALUE"""),"")</f>
        <v/>
      </c>
      <c r="E358" s="169"/>
    </row>
    <row r="359" spans="2:5" ht="12.5">
      <c r="B359" s="40" t="str">
        <f ca="1">IFERROR(__xludf.DUMMYFUNCTION("""COMPUTED_VALUE"""),"")</f>
        <v/>
      </c>
      <c r="E359" s="169"/>
    </row>
    <row r="360" spans="2:5" ht="12.5">
      <c r="B360" s="40" t="str">
        <f ca="1">IFERROR(__xludf.DUMMYFUNCTION("""COMPUTED_VALUE"""),"")</f>
        <v/>
      </c>
      <c r="E360" s="169"/>
    </row>
    <row r="361" spans="2:5" ht="12.5">
      <c r="B361" s="40" t="str">
        <f ca="1">IFERROR(__xludf.DUMMYFUNCTION("""COMPUTED_VALUE"""),"")</f>
        <v/>
      </c>
      <c r="E361" s="169"/>
    </row>
    <row r="362" spans="2:5" ht="12.5">
      <c r="B362" s="40" t="str">
        <f ca="1">IFERROR(__xludf.DUMMYFUNCTION("""COMPUTED_VALUE"""),"")</f>
        <v/>
      </c>
      <c r="E362" s="169"/>
    </row>
    <row r="363" spans="2:5" ht="12.5">
      <c r="B363" s="40" t="str">
        <f ca="1">IFERROR(__xludf.DUMMYFUNCTION("""COMPUTED_VALUE"""),"")</f>
        <v/>
      </c>
      <c r="E363" s="169"/>
    </row>
    <row r="364" spans="2:5" ht="12.5">
      <c r="B364" s="40" t="str">
        <f ca="1">IFERROR(__xludf.DUMMYFUNCTION("""COMPUTED_VALUE"""),"")</f>
        <v/>
      </c>
      <c r="E364" s="169"/>
    </row>
    <row r="365" spans="2:5" ht="12.5">
      <c r="B365" s="40" t="str">
        <f ca="1">IFERROR(__xludf.DUMMYFUNCTION("""COMPUTED_VALUE"""),"")</f>
        <v/>
      </c>
      <c r="E365" s="169"/>
    </row>
    <row r="366" spans="2:5" ht="12.5">
      <c r="B366" s="40" t="str">
        <f ca="1">IFERROR(__xludf.DUMMYFUNCTION("""COMPUTED_VALUE"""),"")</f>
        <v/>
      </c>
      <c r="E366" s="169"/>
    </row>
    <row r="367" spans="2:5" ht="12.5">
      <c r="B367" s="40" t="str">
        <f ca="1">IFERROR(__xludf.DUMMYFUNCTION("""COMPUTED_VALUE"""),"")</f>
        <v/>
      </c>
      <c r="E367" s="169"/>
    </row>
    <row r="368" spans="2:5" ht="12.5">
      <c r="B368" s="40" t="str">
        <f ca="1">IFERROR(__xludf.DUMMYFUNCTION("""COMPUTED_VALUE"""),"")</f>
        <v/>
      </c>
      <c r="E368" s="169"/>
    </row>
    <row r="369" spans="2:5" ht="12.5">
      <c r="B369" s="40" t="str">
        <f ca="1">IFERROR(__xludf.DUMMYFUNCTION("""COMPUTED_VALUE"""),"")</f>
        <v/>
      </c>
      <c r="E369" s="169"/>
    </row>
    <row r="370" spans="2:5" ht="12.5">
      <c r="B370" s="40" t="str">
        <f ca="1">IFERROR(__xludf.DUMMYFUNCTION("""COMPUTED_VALUE"""),"")</f>
        <v/>
      </c>
      <c r="E370" s="169"/>
    </row>
    <row r="371" spans="2:5" ht="12.5">
      <c r="B371" s="40" t="str">
        <f ca="1">IFERROR(__xludf.DUMMYFUNCTION("""COMPUTED_VALUE"""),"")</f>
        <v/>
      </c>
      <c r="E371" s="169"/>
    </row>
    <row r="372" spans="2:5" ht="12.5">
      <c r="B372" s="40" t="str">
        <f ca="1">IFERROR(__xludf.DUMMYFUNCTION("""COMPUTED_VALUE"""),"")</f>
        <v/>
      </c>
      <c r="E372" s="169"/>
    </row>
    <row r="373" spans="2:5" ht="12.5">
      <c r="B373" s="40" t="str">
        <f ca="1">IFERROR(__xludf.DUMMYFUNCTION("""COMPUTED_VALUE"""),"")</f>
        <v/>
      </c>
      <c r="E373" s="169"/>
    </row>
    <row r="374" spans="2:5" ht="12.5">
      <c r="B374" s="40" t="str">
        <f ca="1">IFERROR(__xludf.DUMMYFUNCTION("""COMPUTED_VALUE"""),"")</f>
        <v/>
      </c>
      <c r="E374" s="169"/>
    </row>
    <row r="375" spans="2:5" ht="12.5">
      <c r="B375" s="40" t="str">
        <f ca="1">IFERROR(__xludf.DUMMYFUNCTION("""COMPUTED_VALUE"""),"")</f>
        <v/>
      </c>
      <c r="E375" s="169"/>
    </row>
    <row r="376" spans="2:5" ht="12.5">
      <c r="B376" s="40" t="str">
        <f ca="1">IFERROR(__xludf.DUMMYFUNCTION("""COMPUTED_VALUE"""),"")</f>
        <v/>
      </c>
      <c r="E376" s="169"/>
    </row>
    <row r="377" spans="2:5" ht="12.5">
      <c r="B377" s="40" t="str">
        <f ca="1">IFERROR(__xludf.DUMMYFUNCTION("""COMPUTED_VALUE"""),"")</f>
        <v/>
      </c>
      <c r="E377" s="169"/>
    </row>
    <row r="378" spans="2:5" ht="12.5">
      <c r="B378" s="40" t="str">
        <f ca="1">IFERROR(__xludf.DUMMYFUNCTION("""COMPUTED_VALUE"""),"")</f>
        <v/>
      </c>
      <c r="E378" s="169"/>
    </row>
    <row r="379" spans="2:5" ht="12.5">
      <c r="B379" s="40" t="str">
        <f ca="1">IFERROR(__xludf.DUMMYFUNCTION("""COMPUTED_VALUE"""),"")</f>
        <v/>
      </c>
      <c r="E379" s="169"/>
    </row>
    <row r="380" spans="2:5" ht="12.5">
      <c r="B380" s="40" t="str">
        <f ca="1">IFERROR(__xludf.DUMMYFUNCTION("""COMPUTED_VALUE"""),"")</f>
        <v/>
      </c>
      <c r="E380" s="169"/>
    </row>
    <row r="381" spans="2:5" ht="12.5">
      <c r="B381" s="40" t="str">
        <f ca="1">IFERROR(__xludf.DUMMYFUNCTION("""COMPUTED_VALUE"""),"")</f>
        <v/>
      </c>
      <c r="E381" s="169"/>
    </row>
    <row r="382" spans="2:5" ht="12.5">
      <c r="B382" s="40" t="str">
        <f ca="1">IFERROR(__xludf.DUMMYFUNCTION("""COMPUTED_VALUE"""),"")</f>
        <v/>
      </c>
      <c r="E382" s="169"/>
    </row>
    <row r="383" spans="2:5" ht="12.5">
      <c r="B383" s="40" t="str">
        <f ca="1">IFERROR(__xludf.DUMMYFUNCTION("""COMPUTED_VALUE"""),"")</f>
        <v/>
      </c>
      <c r="E383" s="169"/>
    </row>
    <row r="384" spans="2:5" ht="12.5">
      <c r="B384" s="40" t="str">
        <f ca="1">IFERROR(__xludf.DUMMYFUNCTION("""COMPUTED_VALUE"""),"")</f>
        <v/>
      </c>
      <c r="E384" s="169"/>
    </row>
    <row r="385" spans="2:5" ht="12.5">
      <c r="B385" s="40" t="str">
        <f ca="1">IFERROR(__xludf.DUMMYFUNCTION("""COMPUTED_VALUE"""),"")</f>
        <v/>
      </c>
      <c r="E385" s="169"/>
    </row>
    <row r="386" spans="2:5" ht="12.5">
      <c r="B386" s="40" t="str">
        <f ca="1">IFERROR(__xludf.DUMMYFUNCTION("""COMPUTED_VALUE"""),"")</f>
        <v/>
      </c>
      <c r="E386" s="169"/>
    </row>
    <row r="387" spans="2:5" ht="12.5">
      <c r="B387" s="40" t="str">
        <f ca="1">IFERROR(__xludf.DUMMYFUNCTION("""COMPUTED_VALUE"""),"")</f>
        <v/>
      </c>
      <c r="E387" s="169"/>
    </row>
    <row r="388" spans="2:5" ht="12.5">
      <c r="B388" s="40" t="str">
        <f ca="1">IFERROR(__xludf.DUMMYFUNCTION("""COMPUTED_VALUE"""),"")</f>
        <v/>
      </c>
      <c r="E388" s="169"/>
    </row>
    <row r="389" spans="2:5" ht="12.5">
      <c r="B389" s="40" t="str">
        <f ca="1">IFERROR(__xludf.DUMMYFUNCTION("""COMPUTED_VALUE"""),"")</f>
        <v/>
      </c>
      <c r="E389" s="169"/>
    </row>
    <row r="390" spans="2:5" ht="12.5">
      <c r="B390" s="40" t="str">
        <f ca="1">IFERROR(__xludf.DUMMYFUNCTION("""COMPUTED_VALUE"""),"")</f>
        <v/>
      </c>
      <c r="E390" s="169"/>
    </row>
    <row r="391" spans="2:5" ht="12.5">
      <c r="B391" s="40" t="str">
        <f ca="1">IFERROR(__xludf.DUMMYFUNCTION("""COMPUTED_VALUE"""),"")</f>
        <v/>
      </c>
      <c r="E391" s="169"/>
    </row>
    <row r="392" spans="2:5" ht="12.5">
      <c r="B392" s="40" t="str">
        <f ca="1">IFERROR(__xludf.DUMMYFUNCTION("""COMPUTED_VALUE"""),"")</f>
        <v/>
      </c>
      <c r="E392" s="169"/>
    </row>
    <row r="393" spans="2:5" ht="12.5">
      <c r="B393" s="40" t="str">
        <f ca="1">IFERROR(__xludf.DUMMYFUNCTION("""COMPUTED_VALUE"""),"")</f>
        <v/>
      </c>
      <c r="E393" s="169"/>
    </row>
    <row r="394" spans="2:5" ht="12.5">
      <c r="B394" s="40" t="str">
        <f ca="1">IFERROR(__xludf.DUMMYFUNCTION("""COMPUTED_VALUE"""),"")</f>
        <v/>
      </c>
      <c r="E394" s="169"/>
    </row>
    <row r="395" spans="2:5" ht="12.5">
      <c r="B395" s="40" t="str">
        <f ca="1">IFERROR(__xludf.DUMMYFUNCTION("""COMPUTED_VALUE"""),"")</f>
        <v/>
      </c>
      <c r="E395" s="169"/>
    </row>
    <row r="396" spans="2:5" ht="12.5">
      <c r="B396" s="40" t="str">
        <f ca="1">IFERROR(__xludf.DUMMYFUNCTION("""COMPUTED_VALUE"""),"")</f>
        <v/>
      </c>
      <c r="E396" s="169"/>
    </row>
    <row r="397" spans="2:5" ht="12.5">
      <c r="B397" s="40" t="str">
        <f ca="1">IFERROR(__xludf.DUMMYFUNCTION("""COMPUTED_VALUE"""),"")</f>
        <v/>
      </c>
      <c r="E397" s="169"/>
    </row>
    <row r="398" spans="2:5" ht="12.5">
      <c r="B398" s="40" t="str">
        <f ca="1">IFERROR(__xludf.DUMMYFUNCTION("""COMPUTED_VALUE"""),"")</f>
        <v/>
      </c>
      <c r="E398" s="169"/>
    </row>
    <row r="399" spans="2:5" ht="12.5">
      <c r="B399" s="40" t="str">
        <f ca="1">IFERROR(__xludf.DUMMYFUNCTION("""COMPUTED_VALUE"""),"")</f>
        <v/>
      </c>
      <c r="E399" s="169"/>
    </row>
    <row r="400" spans="2:5" ht="12.5">
      <c r="B400" s="40" t="str">
        <f ca="1">IFERROR(__xludf.DUMMYFUNCTION("""COMPUTED_VALUE"""),"")</f>
        <v/>
      </c>
      <c r="E400" s="169"/>
    </row>
    <row r="401" spans="2:5" ht="12.5">
      <c r="B401" s="40" t="str">
        <f ca="1">IFERROR(__xludf.DUMMYFUNCTION("""COMPUTED_VALUE"""),"")</f>
        <v/>
      </c>
      <c r="E401" s="169"/>
    </row>
    <row r="402" spans="2:5" ht="12.5">
      <c r="B402" s="40" t="str">
        <f ca="1">IFERROR(__xludf.DUMMYFUNCTION("""COMPUTED_VALUE"""),"")</f>
        <v/>
      </c>
      <c r="E402" s="169"/>
    </row>
    <row r="403" spans="2:5" ht="12.5">
      <c r="B403" s="40" t="str">
        <f ca="1">IFERROR(__xludf.DUMMYFUNCTION("""COMPUTED_VALUE"""),"")</f>
        <v/>
      </c>
      <c r="E403" s="169"/>
    </row>
    <row r="404" spans="2:5" ht="12.5">
      <c r="B404" s="40" t="str">
        <f ca="1">IFERROR(__xludf.DUMMYFUNCTION("""COMPUTED_VALUE"""),"")</f>
        <v/>
      </c>
      <c r="E404" s="169"/>
    </row>
    <row r="405" spans="2:5" ht="12.5">
      <c r="B405" s="40" t="str">
        <f ca="1">IFERROR(__xludf.DUMMYFUNCTION("""COMPUTED_VALUE"""),"")</f>
        <v/>
      </c>
      <c r="E405" s="169"/>
    </row>
    <row r="406" spans="2:5" ht="12.5">
      <c r="B406" s="40" t="str">
        <f ca="1">IFERROR(__xludf.DUMMYFUNCTION("""COMPUTED_VALUE"""),"")</f>
        <v/>
      </c>
      <c r="E406" s="169"/>
    </row>
    <row r="407" spans="2:5" ht="12.5">
      <c r="B407" s="40" t="str">
        <f ca="1">IFERROR(__xludf.DUMMYFUNCTION("""COMPUTED_VALUE"""),"")</f>
        <v/>
      </c>
      <c r="E407" s="169"/>
    </row>
    <row r="408" spans="2:5" ht="12.5">
      <c r="B408" s="40" t="str">
        <f ca="1">IFERROR(__xludf.DUMMYFUNCTION("""COMPUTED_VALUE"""),"")</f>
        <v/>
      </c>
      <c r="E408" s="169"/>
    </row>
    <row r="409" spans="2:5" ht="12.5">
      <c r="B409" s="40" t="str">
        <f ca="1">IFERROR(__xludf.DUMMYFUNCTION("""COMPUTED_VALUE"""),"")</f>
        <v/>
      </c>
      <c r="E409" s="169"/>
    </row>
    <row r="410" spans="2:5" ht="12.5">
      <c r="B410" s="40" t="str">
        <f ca="1">IFERROR(__xludf.DUMMYFUNCTION("""COMPUTED_VALUE"""),"")</f>
        <v/>
      </c>
      <c r="E410" s="169"/>
    </row>
    <row r="411" spans="2:5" ht="12.5">
      <c r="B411" s="40" t="str">
        <f ca="1">IFERROR(__xludf.DUMMYFUNCTION("""COMPUTED_VALUE"""),"")</f>
        <v/>
      </c>
      <c r="E411" s="169"/>
    </row>
    <row r="412" spans="2:5" ht="12.5">
      <c r="B412" s="40" t="str">
        <f ca="1">IFERROR(__xludf.DUMMYFUNCTION("""COMPUTED_VALUE"""),"")</f>
        <v/>
      </c>
      <c r="E412" s="169"/>
    </row>
    <row r="413" spans="2:5" ht="12.5">
      <c r="B413" s="40" t="str">
        <f ca="1">IFERROR(__xludf.DUMMYFUNCTION("""COMPUTED_VALUE"""),"")</f>
        <v/>
      </c>
      <c r="E413" s="169"/>
    </row>
    <row r="414" spans="2:5" ht="12.5">
      <c r="B414" s="40" t="str">
        <f ca="1">IFERROR(__xludf.DUMMYFUNCTION("""COMPUTED_VALUE"""),"")</f>
        <v/>
      </c>
      <c r="E414" s="169"/>
    </row>
    <row r="415" spans="2:5" ht="12.5">
      <c r="B415" s="40" t="str">
        <f ca="1">IFERROR(__xludf.DUMMYFUNCTION("""COMPUTED_VALUE"""),"")</f>
        <v/>
      </c>
      <c r="E415" s="169"/>
    </row>
    <row r="416" spans="2:5" ht="12.5">
      <c r="B416" s="40" t="str">
        <f ca="1">IFERROR(__xludf.DUMMYFUNCTION("""COMPUTED_VALUE"""),"")</f>
        <v/>
      </c>
      <c r="E416" s="169"/>
    </row>
    <row r="417" spans="2:5" ht="12.5">
      <c r="B417" s="40" t="str">
        <f ca="1">IFERROR(__xludf.DUMMYFUNCTION("""COMPUTED_VALUE"""),"")</f>
        <v/>
      </c>
      <c r="E417" s="169"/>
    </row>
    <row r="418" spans="2:5" ht="12.5">
      <c r="B418" s="40" t="str">
        <f ca="1">IFERROR(__xludf.DUMMYFUNCTION("""COMPUTED_VALUE"""),"")</f>
        <v/>
      </c>
      <c r="E418" s="169"/>
    </row>
    <row r="419" spans="2:5" ht="12.5">
      <c r="B419" s="40" t="str">
        <f ca="1">IFERROR(__xludf.DUMMYFUNCTION("""COMPUTED_VALUE"""),"")</f>
        <v/>
      </c>
      <c r="E419" s="169"/>
    </row>
    <row r="420" spans="2:5" ht="12.5">
      <c r="B420" s="40" t="str">
        <f ca="1">IFERROR(__xludf.DUMMYFUNCTION("""COMPUTED_VALUE"""),"")</f>
        <v/>
      </c>
      <c r="E420" s="169"/>
    </row>
    <row r="421" spans="2:5" ht="12.5">
      <c r="B421" s="40" t="str">
        <f ca="1">IFERROR(__xludf.DUMMYFUNCTION("""COMPUTED_VALUE"""),"")</f>
        <v/>
      </c>
      <c r="E421" s="169"/>
    </row>
    <row r="422" spans="2:5" ht="12.5">
      <c r="B422" s="40" t="str">
        <f ca="1">IFERROR(__xludf.DUMMYFUNCTION("""COMPUTED_VALUE"""),"")</f>
        <v/>
      </c>
      <c r="E422" s="169"/>
    </row>
    <row r="423" spans="2:5" ht="12.5">
      <c r="B423" s="40" t="str">
        <f ca="1">IFERROR(__xludf.DUMMYFUNCTION("""COMPUTED_VALUE"""),"")</f>
        <v/>
      </c>
      <c r="E423" s="169"/>
    </row>
    <row r="424" spans="2:5" ht="12.5">
      <c r="B424" s="40" t="str">
        <f ca="1">IFERROR(__xludf.DUMMYFUNCTION("""COMPUTED_VALUE"""),"")</f>
        <v/>
      </c>
      <c r="E424" s="169"/>
    </row>
    <row r="425" spans="2:5" ht="12.5">
      <c r="B425" s="40" t="str">
        <f ca="1">IFERROR(__xludf.DUMMYFUNCTION("""COMPUTED_VALUE"""),"")</f>
        <v/>
      </c>
      <c r="E425" s="169"/>
    </row>
    <row r="426" spans="2:5" ht="12.5">
      <c r="B426" s="40" t="str">
        <f ca="1">IFERROR(__xludf.DUMMYFUNCTION("""COMPUTED_VALUE"""),"")</f>
        <v/>
      </c>
      <c r="E426" s="169"/>
    </row>
    <row r="427" spans="2:5" ht="12.5">
      <c r="B427" s="40" t="str">
        <f ca="1">IFERROR(__xludf.DUMMYFUNCTION("""COMPUTED_VALUE"""),"")</f>
        <v/>
      </c>
      <c r="E427" s="169"/>
    </row>
    <row r="428" spans="2:5" ht="12.5">
      <c r="B428" s="40" t="str">
        <f ca="1">IFERROR(__xludf.DUMMYFUNCTION("""COMPUTED_VALUE"""),"")</f>
        <v/>
      </c>
      <c r="E428" s="169"/>
    </row>
    <row r="429" spans="2:5" ht="12.5">
      <c r="B429" s="40" t="str">
        <f ca="1">IFERROR(__xludf.DUMMYFUNCTION("""COMPUTED_VALUE"""),"")</f>
        <v/>
      </c>
      <c r="E429" s="169"/>
    </row>
    <row r="430" spans="2:5" ht="12.5">
      <c r="B430" s="40" t="str">
        <f ca="1">IFERROR(__xludf.DUMMYFUNCTION("""COMPUTED_VALUE"""),"")</f>
        <v/>
      </c>
      <c r="E430" s="169"/>
    </row>
    <row r="431" spans="2:5" ht="12.5">
      <c r="B431" s="40" t="str">
        <f ca="1">IFERROR(__xludf.DUMMYFUNCTION("""COMPUTED_VALUE"""),"")</f>
        <v/>
      </c>
      <c r="E431" s="169"/>
    </row>
    <row r="432" spans="2:5" ht="12.5">
      <c r="B432" s="40" t="str">
        <f ca="1">IFERROR(__xludf.DUMMYFUNCTION("""COMPUTED_VALUE"""),"")</f>
        <v/>
      </c>
      <c r="E432" s="169"/>
    </row>
    <row r="433" spans="2:5" ht="12.5">
      <c r="B433" s="40" t="str">
        <f ca="1">IFERROR(__xludf.DUMMYFUNCTION("""COMPUTED_VALUE"""),"")</f>
        <v/>
      </c>
      <c r="E433" s="169"/>
    </row>
    <row r="434" spans="2:5" ht="12.5">
      <c r="B434" s="40" t="str">
        <f ca="1">IFERROR(__xludf.DUMMYFUNCTION("""COMPUTED_VALUE"""),"")</f>
        <v/>
      </c>
      <c r="E434" s="169"/>
    </row>
    <row r="435" spans="2:5" ht="12.5">
      <c r="B435" s="40" t="str">
        <f ca="1">IFERROR(__xludf.DUMMYFUNCTION("""COMPUTED_VALUE"""),"")</f>
        <v/>
      </c>
      <c r="E435" s="169"/>
    </row>
    <row r="436" spans="2:5" ht="12.5">
      <c r="B436" s="40" t="str">
        <f ca="1">IFERROR(__xludf.DUMMYFUNCTION("""COMPUTED_VALUE"""),"")</f>
        <v/>
      </c>
      <c r="E436" s="169"/>
    </row>
    <row r="437" spans="2:5" ht="12.5">
      <c r="B437" s="40" t="str">
        <f ca="1">IFERROR(__xludf.DUMMYFUNCTION("""COMPUTED_VALUE"""),"")</f>
        <v/>
      </c>
      <c r="E437" s="169"/>
    </row>
    <row r="438" spans="2:5" ht="12.5">
      <c r="B438" s="40" t="str">
        <f ca="1">IFERROR(__xludf.DUMMYFUNCTION("""COMPUTED_VALUE"""),"")</f>
        <v/>
      </c>
      <c r="E438" s="169"/>
    </row>
    <row r="439" spans="2:5" ht="12.5">
      <c r="B439" s="40" t="str">
        <f ca="1">IFERROR(__xludf.DUMMYFUNCTION("""COMPUTED_VALUE"""),"")</f>
        <v/>
      </c>
      <c r="E439" s="169"/>
    </row>
    <row r="440" spans="2:5" ht="12.5">
      <c r="B440" s="40" t="str">
        <f ca="1">IFERROR(__xludf.DUMMYFUNCTION("""COMPUTED_VALUE"""),"")</f>
        <v/>
      </c>
      <c r="E440" s="169"/>
    </row>
    <row r="441" spans="2:5" ht="12.5">
      <c r="B441" s="40" t="str">
        <f ca="1">IFERROR(__xludf.DUMMYFUNCTION("""COMPUTED_VALUE"""),"")</f>
        <v/>
      </c>
      <c r="E441" s="169"/>
    </row>
    <row r="442" spans="2:5" ht="12.5">
      <c r="B442" s="40" t="str">
        <f ca="1">IFERROR(__xludf.DUMMYFUNCTION("""COMPUTED_VALUE"""),"")</f>
        <v/>
      </c>
      <c r="E442" s="169"/>
    </row>
    <row r="443" spans="2:5" ht="12.5">
      <c r="B443" s="40" t="str">
        <f ca="1">IFERROR(__xludf.DUMMYFUNCTION("""COMPUTED_VALUE"""),"")</f>
        <v/>
      </c>
      <c r="E443" s="169"/>
    </row>
    <row r="444" spans="2:5" ht="12.5">
      <c r="B444" s="40" t="str">
        <f ca="1">IFERROR(__xludf.DUMMYFUNCTION("""COMPUTED_VALUE"""),"")</f>
        <v/>
      </c>
      <c r="E444" s="169"/>
    </row>
    <row r="445" spans="2:5" ht="12.5">
      <c r="B445" s="40" t="str">
        <f ca="1">IFERROR(__xludf.DUMMYFUNCTION("""COMPUTED_VALUE"""),"")</f>
        <v/>
      </c>
      <c r="E445" s="169"/>
    </row>
    <row r="446" spans="2:5" ht="12.5">
      <c r="B446" s="40" t="str">
        <f ca="1">IFERROR(__xludf.DUMMYFUNCTION("""COMPUTED_VALUE"""),"")</f>
        <v/>
      </c>
      <c r="E446" s="169"/>
    </row>
    <row r="447" spans="2:5" ht="12.5">
      <c r="B447" s="40" t="str">
        <f ca="1">IFERROR(__xludf.DUMMYFUNCTION("""COMPUTED_VALUE"""),"")</f>
        <v/>
      </c>
      <c r="E447" s="169"/>
    </row>
    <row r="448" spans="2:5" ht="12.5">
      <c r="B448" s="40" t="str">
        <f ca="1">IFERROR(__xludf.DUMMYFUNCTION("""COMPUTED_VALUE"""),"")</f>
        <v/>
      </c>
      <c r="E448" s="169"/>
    </row>
    <row r="449" spans="2:5" ht="12.5">
      <c r="B449" s="40" t="str">
        <f ca="1">IFERROR(__xludf.DUMMYFUNCTION("""COMPUTED_VALUE"""),"")</f>
        <v/>
      </c>
      <c r="E449" s="169"/>
    </row>
    <row r="450" spans="2:5" ht="12.5">
      <c r="B450" s="40" t="str">
        <f ca="1">IFERROR(__xludf.DUMMYFUNCTION("""COMPUTED_VALUE"""),"")</f>
        <v/>
      </c>
      <c r="E450" s="169"/>
    </row>
    <row r="451" spans="2:5" ht="12.5">
      <c r="B451" s="40" t="str">
        <f ca="1">IFERROR(__xludf.DUMMYFUNCTION("""COMPUTED_VALUE"""),"")</f>
        <v/>
      </c>
      <c r="E451" s="169"/>
    </row>
    <row r="452" spans="2:5" ht="12.5">
      <c r="B452" s="40" t="str">
        <f ca="1">IFERROR(__xludf.DUMMYFUNCTION("""COMPUTED_VALUE"""),"")</f>
        <v/>
      </c>
      <c r="E452" s="169"/>
    </row>
    <row r="453" spans="2:5" ht="12.5">
      <c r="B453" s="40" t="str">
        <f ca="1">IFERROR(__xludf.DUMMYFUNCTION("""COMPUTED_VALUE"""),"")</f>
        <v/>
      </c>
      <c r="E453" s="169"/>
    </row>
    <row r="454" spans="2:5" ht="12.5">
      <c r="B454" s="40" t="str">
        <f ca="1">IFERROR(__xludf.DUMMYFUNCTION("""COMPUTED_VALUE"""),"")</f>
        <v/>
      </c>
      <c r="E454" s="169"/>
    </row>
    <row r="455" spans="2:5" ht="12.5">
      <c r="B455" s="40" t="str">
        <f ca="1">IFERROR(__xludf.DUMMYFUNCTION("""COMPUTED_VALUE"""),"")</f>
        <v/>
      </c>
      <c r="E455" s="169"/>
    </row>
    <row r="456" spans="2:5" ht="12.5">
      <c r="B456" s="40" t="str">
        <f ca="1">IFERROR(__xludf.DUMMYFUNCTION("""COMPUTED_VALUE"""),"")</f>
        <v/>
      </c>
      <c r="E456" s="169"/>
    </row>
    <row r="457" spans="2:5" ht="12.5">
      <c r="B457" s="40" t="str">
        <f ca="1">IFERROR(__xludf.DUMMYFUNCTION("""COMPUTED_VALUE"""),"")</f>
        <v/>
      </c>
      <c r="E457" s="169"/>
    </row>
    <row r="458" spans="2:5" ht="12.5">
      <c r="B458" s="40" t="str">
        <f ca="1">IFERROR(__xludf.DUMMYFUNCTION("""COMPUTED_VALUE"""),"")</f>
        <v/>
      </c>
      <c r="E458" s="169"/>
    </row>
    <row r="459" spans="2:5" ht="12.5">
      <c r="B459" s="40" t="str">
        <f ca="1">IFERROR(__xludf.DUMMYFUNCTION("""COMPUTED_VALUE"""),"")</f>
        <v/>
      </c>
      <c r="E459" s="169"/>
    </row>
    <row r="460" spans="2:5" ht="12.5">
      <c r="B460" s="40" t="str">
        <f ca="1">IFERROR(__xludf.DUMMYFUNCTION("""COMPUTED_VALUE"""),"")</f>
        <v/>
      </c>
      <c r="E460" s="169"/>
    </row>
    <row r="461" spans="2:5" ht="12.5">
      <c r="B461" s="40" t="str">
        <f ca="1">IFERROR(__xludf.DUMMYFUNCTION("""COMPUTED_VALUE"""),"")</f>
        <v/>
      </c>
      <c r="E461" s="169"/>
    </row>
    <row r="462" spans="2:5" ht="12.5">
      <c r="B462" s="40" t="str">
        <f ca="1">IFERROR(__xludf.DUMMYFUNCTION("""COMPUTED_VALUE"""),"")</f>
        <v/>
      </c>
      <c r="E462" s="169"/>
    </row>
    <row r="463" spans="2:5" ht="12.5">
      <c r="B463" s="40" t="str">
        <f ca="1">IFERROR(__xludf.DUMMYFUNCTION("""COMPUTED_VALUE"""),"")</f>
        <v/>
      </c>
      <c r="E463" s="169"/>
    </row>
    <row r="464" spans="2:5" ht="12.5">
      <c r="B464" s="40" t="str">
        <f ca="1">IFERROR(__xludf.DUMMYFUNCTION("""COMPUTED_VALUE"""),"")</f>
        <v/>
      </c>
      <c r="E464" s="169"/>
    </row>
    <row r="465" spans="2:5" ht="12.5">
      <c r="B465" s="40" t="str">
        <f ca="1">IFERROR(__xludf.DUMMYFUNCTION("""COMPUTED_VALUE"""),"")</f>
        <v/>
      </c>
      <c r="E465" s="169"/>
    </row>
    <row r="466" spans="2:5" ht="12.5">
      <c r="B466" s="40" t="str">
        <f ca="1">IFERROR(__xludf.DUMMYFUNCTION("""COMPUTED_VALUE"""),"")</f>
        <v/>
      </c>
      <c r="E466" s="169"/>
    </row>
    <row r="467" spans="2:5" ht="12.5">
      <c r="B467" s="40" t="str">
        <f ca="1">IFERROR(__xludf.DUMMYFUNCTION("""COMPUTED_VALUE"""),"")</f>
        <v/>
      </c>
      <c r="E467" s="169"/>
    </row>
    <row r="468" spans="2:5" ht="12.5">
      <c r="B468" s="40" t="str">
        <f ca="1">IFERROR(__xludf.DUMMYFUNCTION("""COMPUTED_VALUE"""),"")</f>
        <v/>
      </c>
      <c r="E468" s="169"/>
    </row>
    <row r="469" spans="2:5" ht="12.5">
      <c r="B469" s="40" t="str">
        <f ca="1">IFERROR(__xludf.DUMMYFUNCTION("""COMPUTED_VALUE"""),"")</f>
        <v/>
      </c>
      <c r="E469" s="169"/>
    </row>
    <row r="470" spans="2:5" ht="12.5">
      <c r="B470" s="40" t="str">
        <f ca="1">IFERROR(__xludf.DUMMYFUNCTION("""COMPUTED_VALUE"""),"")</f>
        <v/>
      </c>
      <c r="E470" s="169"/>
    </row>
    <row r="471" spans="2:5" ht="12.5">
      <c r="B471" s="40" t="str">
        <f ca="1">IFERROR(__xludf.DUMMYFUNCTION("""COMPUTED_VALUE"""),"")</f>
        <v/>
      </c>
      <c r="E471" s="169"/>
    </row>
    <row r="472" spans="2:5" ht="12.5">
      <c r="B472" s="40" t="str">
        <f ca="1">IFERROR(__xludf.DUMMYFUNCTION("""COMPUTED_VALUE"""),"")</f>
        <v/>
      </c>
      <c r="E472" s="169"/>
    </row>
    <row r="473" spans="2:5" ht="12.5">
      <c r="B473" s="40" t="str">
        <f ca="1">IFERROR(__xludf.DUMMYFUNCTION("""COMPUTED_VALUE"""),"")</f>
        <v/>
      </c>
      <c r="E473" s="169"/>
    </row>
    <row r="474" spans="2:5" ht="12.5">
      <c r="B474" s="40" t="str">
        <f ca="1">IFERROR(__xludf.DUMMYFUNCTION("""COMPUTED_VALUE"""),"")</f>
        <v/>
      </c>
      <c r="E474" s="169"/>
    </row>
    <row r="475" spans="2:5" ht="12.5">
      <c r="B475" s="40" t="str">
        <f ca="1">IFERROR(__xludf.DUMMYFUNCTION("""COMPUTED_VALUE"""),"")</f>
        <v/>
      </c>
      <c r="E475" s="169"/>
    </row>
    <row r="476" spans="2:5" ht="12.5">
      <c r="B476" s="40" t="str">
        <f ca="1">IFERROR(__xludf.DUMMYFUNCTION("""COMPUTED_VALUE"""),"")</f>
        <v/>
      </c>
      <c r="E476" s="169"/>
    </row>
    <row r="477" spans="2:5" ht="12.5">
      <c r="B477" s="40" t="str">
        <f ca="1">IFERROR(__xludf.DUMMYFUNCTION("""COMPUTED_VALUE"""),"")</f>
        <v/>
      </c>
      <c r="E477" s="169"/>
    </row>
    <row r="478" spans="2:5" ht="12.5">
      <c r="B478" s="40" t="str">
        <f ca="1">IFERROR(__xludf.DUMMYFUNCTION("""COMPUTED_VALUE"""),"")</f>
        <v/>
      </c>
      <c r="E478" s="169"/>
    </row>
    <row r="479" spans="2:5" ht="12.5">
      <c r="B479" s="40" t="str">
        <f ca="1">IFERROR(__xludf.DUMMYFUNCTION("""COMPUTED_VALUE"""),"")</f>
        <v/>
      </c>
      <c r="E479" s="169"/>
    </row>
    <row r="480" spans="2:5" ht="12.5">
      <c r="B480" s="40" t="str">
        <f ca="1">IFERROR(__xludf.DUMMYFUNCTION("""COMPUTED_VALUE"""),"")</f>
        <v/>
      </c>
      <c r="E480" s="169"/>
    </row>
    <row r="481" spans="2:5" ht="12.5">
      <c r="B481" s="40" t="str">
        <f ca="1">IFERROR(__xludf.DUMMYFUNCTION("""COMPUTED_VALUE"""),"")</f>
        <v/>
      </c>
      <c r="E481" s="169"/>
    </row>
    <row r="482" spans="2:5" ht="12.5">
      <c r="B482" s="40" t="str">
        <f ca="1">IFERROR(__xludf.DUMMYFUNCTION("""COMPUTED_VALUE"""),"")</f>
        <v/>
      </c>
      <c r="E482" s="169"/>
    </row>
    <row r="483" spans="2:5" ht="12.5">
      <c r="B483" s="40" t="str">
        <f ca="1">IFERROR(__xludf.DUMMYFUNCTION("""COMPUTED_VALUE"""),"")</f>
        <v/>
      </c>
      <c r="E483" s="169"/>
    </row>
    <row r="484" spans="2:5" ht="12.5">
      <c r="B484" s="40" t="str">
        <f ca="1">IFERROR(__xludf.DUMMYFUNCTION("""COMPUTED_VALUE"""),"")</f>
        <v/>
      </c>
      <c r="E484" s="169"/>
    </row>
    <row r="485" spans="2:5" ht="12.5">
      <c r="B485" s="40" t="str">
        <f ca="1">IFERROR(__xludf.DUMMYFUNCTION("""COMPUTED_VALUE"""),"")</f>
        <v/>
      </c>
      <c r="E485" s="169"/>
    </row>
    <row r="486" spans="2:5" ht="12.5">
      <c r="B486" s="40" t="str">
        <f ca="1">IFERROR(__xludf.DUMMYFUNCTION("""COMPUTED_VALUE"""),"")</f>
        <v/>
      </c>
      <c r="E486" s="169"/>
    </row>
    <row r="487" spans="2:5" ht="12.5">
      <c r="B487" s="40" t="str">
        <f ca="1">IFERROR(__xludf.DUMMYFUNCTION("""COMPUTED_VALUE"""),"")</f>
        <v/>
      </c>
      <c r="E487" s="169"/>
    </row>
    <row r="488" spans="2:5" ht="12.5">
      <c r="B488" s="40" t="str">
        <f ca="1">IFERROR(__xludf.DUMMYFUNCTION("""COMPUTED_VALUE"""),"")</f>
        <v/>
      </c>
      <c r="E488" s="169"/>
    </row>
    <row r="489" spans="2:5" ht="12.5">
      <c r="B489" s="40" t="str">
        <f ca="1">IFERROR(__xludf.DUMMYFUNCTION("""COMPUTED_VALUE"""),"")</f>
        <v/>
      </c>
      <c r="E489" s="169"/>
    </row>
    <row r="490" spans="2:5" ht="12.5">
      <c r="B490" s="40" t="str">
        <f ca="1">IFERROR(__xludf.DUMMYFUNCTION("""COMPUTED_VALUE"""),"")</f>
        <v/>
      </c>
      <c r="E490" s="169"/>
    </row>
    <row r="491" spans="2:5" ht="12.5">
      <c r="B491" s="40" t="str">
        <f ca="1">IFERROR(__xludf.DUMMYFUNCTION("""COMPUTED_VALUE"""),"")</f>
        <v/>
      </c>
      <c r="E491" s="169"/>
    </row>
    <row r="492" spans="2:5" ht="12.5">
      <c r="B492" s="40" t="str">
        <f ca="1">IFERROR(__xludf.DUMMYFUNCTION("""COMPUTED_VALUE"""),"")</f>
        <v/>
      </c>
      <c r="E492" s="169"/>
    </row>
    <row r="493" spans="2:5" ht="12.5">
      <c r="B493" s="40" t="str">
        <f ca="1">IFERROR(__xludf.DUMMYFUNCTION("""COMPUTED_VALUE"""),"")</f>
        <v/>
      </c>
      <c r="E493" s="169"/>
    </row>
    <row r="494" spans="2:5" ht="12.5">
      <c r="B494" s="40" t="str">
        <f ca="1">IFERROR(__xludf.DUMMYFUNCTION("""COMPUTED_VALUE"""),"")</f>
        <v/>
      </c>
      <c r="E494" s="169"/>
    </row>
    <row r="495" spans="2:5" ht="12.5">
      <c r="B495" s="40" t="str">
        <f ca="1">IFERROR(__xludf.DUMMYFUNCTION("""COMPUTED_VALUE"""),"")</f>
        <v/>
      </c>
      <c r="E495" s="169"/>
    </row>
    <row r="496" spans="2:5" ht="12.5">
      <c r="B496" s="40" t="str">
        <f ca="1">IFERROR(__xludf.DUMMYFUNCTION("""COMPUTED_VALUE"""),"")</f>
        <v/>
      </c>
      <c r="E496" s="169"/>
    </row>
    <row r="497" spans="2:5" ht="12.5">
      <c r="B497" s="40" t="str">
        <f ca="1">IFERROR(__xludf.DUMMYFUNCTION("""COMPUTED_VALUE"""),"")</f>
        <v/>
      </c>
      <c r="E497" s="169"/>
    </row>
    <row r="498" spans="2:5" ht="12.5">
      <c r="B498" s="40" t="str">
        <f ca="1">IFERROR(__xludf.DUMMYFUNCTION("""COMPUTED_VALUE"""),"")</f>
        <v/>
      </c>
      <c r="E498" s="169"/>
    </row>
    <row r="499" spans="2:5" ht="12.5">
      <c r="B499" s="40" t="str">
        <f ca="1">IFERROR(__xludf.DUMMYFUNCTION("""COMPUTED_VALUE"""),"")</f>
        <v/>
      </c>
      <c r="E499" s="169"/>
    </row>
    <row r="500" spans="2:5" ht="12.5">
      <c r="B500" s="40" t="str">
        <f ca="1">IFERROR(__xludf.DUMMYFUNCTION("""COMPUTED_VALUE"""),"")</f>
        <v/>
      </c>
      <c r="E500" s="169"/>
    </row>
    <row r="501" spans="2:5" ht="12.5">
      <c r="B501" s="40" t="str">
        <f ca="1">IFERROR(__xludf.DUMMYFUNCTION("""COMPUTED_VALUE"""),"")</f>
        <v/>
      </c>
      <c r="E501" s="169"/>
    </row>
    <row r="502" spans="2:5" ht="12.5">
      <c r="B502" s="40" t="str">
        <f ca="1">IFERROR(__xludf.DUMMYFUNCTION("""COMPUTED_VALUE"""),"")</f>
        <v/>
      </c>
      <c r="E502" s="169"/>
    </row>
    <row r="503" spans="2:5" ht="12.5">
      <c r="B503" s="40" t="str">
        <f ca="1">IFERROR(__xludf.DUMMYFUNCTION("""COMPUTED_VALUE"""),"")</f>
        <v/>
      </c>
      <c r="E503" s="169"/>
    </row>
    <row r="504" spans="2:5" ht="12.5">
      <c r="B504" s="40" t="str">
        <f ca="1">IFERROR(__xludf.DUMMYFUNCTION("""COMPUTED_VALUE"""),"")</f>
        <v/>
      </c>
      <c r="E504" s="169"/>
    </row>
    <row r="505" spans="2:5" ht="12.5">
      <c r="B505" s="40" t="str">
        <f ca="1">IFERROR(__xludf.DUMMYFUNCTION("""COMPUTED_VALUE"""),"")</f>
        <v/>
      </c>
      <c r="E505" s="169"/>
    </row>
    <row r="506" spans="2:5" ht="12.5">
      <c r="B506" s="40" t="str">
        <f ca="1">IFERROR(__xludf.DUMMYFUNCTION("""COMPUTED_VALUE"""),"")</f>
        <v/>
      </c>
      <c r="E506" s="169"/>
    </row>
    <row r="507" spans="2:5" ht="12.5">
      <c r="B507" s="40" t="str">
        <f ca="1">IFERROR(__xludf.DUMMYFUNCTION("""COMPUTED_VALUE"""),"")</f>
        <v/>
      </c>
      <c r="E507" s="169"/>
    </row>
    <row r="508" spans="2:5" ht="12.5">
      <c r="B508" s="40" t="str">
        <f ca="1">IFERROR(__xludf.DUMMYFUNCTION("""COMPUTED_VALUE"""),"")</f>
        <v/>
      </c>
      <c r="E508" s="169"/>
    </row>
    <row r="509" spans="2:5" ht="12.5">
      <c r="B509" s="40" t="str">
        <f ca="1">IFERROR(__xludf.DUMMYFUNCTION("""COMPUTED_VALUE"""),"")</f>
        <v/>
      </c>
      <c r="E509" s="169"/>
    </row>
    <row r="510" spans="2:5" ht="12.5">
      <c r="B510" s="40" t="str">
        <f ca="1">IFERROR(__xludf.DUMMYFUNCTION("""COMPUTED_VALUE"""),"")</f>
        <v/>
      </c>
      <c r="E510" s="169"/>
    </row>
    <row r="511" spans="2:5" ht="12.5">
      <c r="B511" s="40" t="str">
        <f ca="1">IFERROR(__xludf.DUMMYFUNCTION("""COMPUTED_VALUE"""),"")</f>
        <v/>
      </c>
      <c r="E511" s="169"/>
    </row>
    <row r="512" spans="2:5" ht="12.5">
      <c r="B512" s="40" t="str">
        <f ca="1">IFERROR(__xludf.DUMMYFUNCTION("""COMPUTED_VALUE"""),"")</f>
        <v/>
      </c>
      <c r="E512" s="169"/>
    </row>
    <row r="513" spans="2:5" ht="12.5">
      <c r="B513" s="40" t="str">
        <f ca="1">IFERROR(__xludf.DUMMYFUNCTION("""COMPUTED_VALUE"""),"")</f>
        <v/>
      </c>
      <c r="E513" s="169"/>
    </row>
    <row r="514" spans="2:5" ht="12.5">
      <c r="B514" s="40" t="str">
        <f ca="1">IFERROR(__xludf.DUMMYFUNCTION("""COMPUTED_VALUE"""),"")</f>
        <v/>
      </c>
      <c r="E514" s="169"/>
    </row>
    <row r="515" spans="2:5" ht="12.5">
      <c r="B515" s="40" t="str">
        <f ca="1">IFERROR(__xludf.DUMMYFUNCTION("""COMPUTED_VALUE"""),"")</f>
        <v/>
      </c>
      <c r="E515" s="169"/>
    </row>
    <row r="516" spans="2:5" ht="12.5">
      <c r="B516" s="40" t="str">
        <f ca="1">IFERROR(__xludf.DUMMYFUNCTION("""COMPUTED_VALUE"""),"")</f>
        <v/>
      </c>
      <c r="E516" s="169"/>
    </row>
    <row r="517" spans="2:5" ht="12.5">
      <c r="B517" s="40" t="str">
        <f ca="1">IFERROR(__xludf.DUMMYFUNCTION("""COMPUTED_VALUE"""),"")</f>
        <v/>
      </c>
      <c r="E517" s="169"/>
    </row>
    <row r="518" spans="2:5" ht="12.5">
      <c r="B518" s="40" t="str">
        <f ca="1">IFERROR(__xludf.DUMMYFUNCTION("""COMPUTED_VALUE"""),"")</f>
        <v/>
      </c>
      <c r="E518" s="169"/>
    </row>
    <row r="519" spans="2:5" ht="12.5">
      <c r="B519" s="40" t="str">
        <f ca="1">IFERROR(__xludf.DUMMYFUNCTION("""COMPUTED_VALUE"""),"")</f>
        <v/>
      </c>
      <c r="E519" s="169"/>
    </row>
    <row r="520" spans="2:5" ht="12.5">
      <c r="B520" s="40" t="str">
        <f ca="1">IFERROR(__xludf.DUMMYFUNCTION("""COMPUTED_VALUE"""),"")</f>
        <v/>
      </c>
      <c r="E520" s="169"/>
    </row>
    <row r="521" spans="2:5" ht="12.5">
      <c r="B521" s="40" t="str">
        <f ca="1">IFERROR(__xludf.DUMMYFUNCTION("""COMPUTED_VALUE"""),"")</f>
        <v/>
      </c>
      <c r="E521" s="169"/>
    </row>
    <row r="522" spans="2:5" ht="12.5">
      <c r="B522" s="40" t="str">
        <f ca="1">IFERROR(__xludf.DUMMYFUNCTION("""COMPUTED_VALUE"""),"")</f>
        <v/>
      </c>
      <c r="E522" s="169"/>
    </row>
    <row r="523" spans="2:5" ht="12.5">
      <c r="B523" s="40" t="str">
        <f ca="1">IFERROR(__xludf.DUMMYFUNCTION("""COMPUTED_VALUE"""),"")</f>
        <v/>
      </c>
      <c r="E523" s="169"/>
    </row>
    <row r="524" spans="2:5" ht="12.5">
      <c r="B524" s="40" t="str">
        <f ca="1">IFERROR(__xludf.DUMMYFUNCTION("""COMPUTED_VALUE"""),"")</f>
        <v/>
      </c>
      <c r="E524" s="169"/>
    </row>
    <row r="525" spans="2:5" ht="12.5">
      <c r="B525" s="40" t="str">
        <f ca="1">IFERROR(__xludf.DUMMYFUNCTION("""COMPUTED_VALUE"""),"")</f>
        <v/>
      </c>
      <c r="E525" s="169"/>
    </row>
    <row r="526" spans="2:5" ht="12.5">
      <c r="B526" s="40" t="str">
        <f ca="1">IFERROR(__xludf.DUMMYFUNCTION("""COMPUTED_VALUE"""),"")</f>
        <v/>
      </c>
      <c r="E526" s="169"/>
    </row>
    <row r="527" spans="2:5" ht="12.5">
      <c r="B527" s="40" t="str">
        <f ca="1">IFERROR(__xludf.DUMMYFUNCTION("""COMPUTED_VALUE"""),"")</f>
        <v/>
      </c>
      <c r="E527" s="169"/>
    </row>
    <row r="528" spans="2:5" ht="12.5">
      <c r="B528" s="40" t="str">
        <f ca="1">IFERROR(__xludf.DUMMYFUNCTION("""COMPUTED_VALUE"""),"")</f>
        <v/>
      </c>
      <c r="E528" s="169"/>
    </row>
    <row r="529" spans="2:5" ht="12.5">
      <c r="B529" s="40" t="str">
        <f ca="1">IFERROR(__xludf.DUMMYFUNCTION("""COMPUTED_VALUE"""),"")</f>
        <v/>
      </c>
      <c r="E529" s="169"/>
    </row>
    <row r="530" spans="2:5" ht="12.5">
      <c r="B530" s="40" t="str">
        <f ca="1">IFERROR(__xludf.DUMMYFUNCTION("""COMPUTED_VALUE"""),"")</f>
        <v/>
      </c>
      <c r="E530" s="169"/>
    </row>
    <row r="531" spans="2:5" ht="12.5">
      <c r="B531" s="40" t="str">
        <f ca="1">IFERROR(__xludf.DUMMYFUNCTION("""COMPUTED_VALUE"""),"")</f>
        <v/>
      </c>
      <c r="E531" s="169"/>
    </row>
    <row r="532" spans="2:5" ht="12.5">
      <c r="B532" s="40" t="str">
        <f ca="1">IFERROR(__xludf.DUMMYFUNCTION("""COMPUTED_VALUE"""),"")</f>
        <v/>
      </c>
      <c r="E532" s="169"/>
    </row>
    <row r="533" spans="2:5" ht="12.5">
      <c r="B533" s="40" t="str">
        <f ca="1">IFERROR(__xludf.DUMMYFUNCTION("""COMPUTED_VALUE"""),"")</f>
        <v/>
      </c>
      <c r="E533" s="169"/>
    </row>
    <row r="534" spans="2:5" ht="12.5">
      <c r="B534" s="40" t="str">
        <f ca="1">IFERROR(__xludf.DUMMYFUNCTION("""COMPUTED_VALUE"""),"")</f>
        <v/>
      </c>
      <c r="E534" s="169"/>
    </row>
    <row r="535" spans="2:5" ht="12.5">
      <c r="B535" s="40" t="str">
        <f ca="1">IFERROR(__xludf.DUMMYFUNCTION("""COMPUTED_VALUE"""),"")</f>
        <v/>
      </c>
      <c r="E535" s="169"/>
    </row>
    <row r="536" spans="2:5" ht="12.5">
      <c r="B536" s="40" t="str">
        <f ca="1">IFERROR(__xludf.DUMMYFUNCTION("""COMPUTED_VALUE"""),"")</f>
        <v/>
      </c>
      <c r="E536" s="169"/>
    </row>
    <row r="537" spans="2:5" ht="12.5">
      <c r="B537" s="40" t="str">
        <f ca="1">IFERROR(__xludf.DUMMYFUNCTION("""COMPUTED_VALUE"""),"")</f>
        <v/>
      </c>
      <c r="E537" s="169"/>
    </row>
    <row r="538" spans="2:5" ht="12.5">
      <c r="B538" s="40" t="str">
        <f ca="1">IFERROR(__xludf.DUMMYFUNCTION("""COMPUTED_VALUE"""),"")</f>
        <v/>
      </c>
      <c r="E538" s="169"/>
    </row>
    <row r="539" spans="2:5" ht="12.5">
      <c r="B539" s="40" t="str">
        <f ca="1">IFERROR(__xludf.DUMMYFUNCTION("""COMPUTED_VALUE"""),"")</f>
        <v/>
      </c>
      <c r="E539" s="169"/>
    </row>
    <row r="540" spans="2:5" ht="12.5">
      <c r="B540" s="40" t="str">
        <f ca="1">IFERROR(__xludf.DUMMYFUNCTION("""COMPUTED_VALUE"""),"")</f>
        <v/>
      </c>
      <c r="E540" s="169"/>
    </row>
    <row r="541" spans="2:5" ht="12.5">
      <c r="B541" s="40" t="str">
        <f ca="1">IFERROR(__xludf.DUMMYFUNCTION("""COMPUTED_VALUE"""),"")</f>
        <v/>
      </c>
      <c r="E541" s="169"/>
    </row>
    <row r="542" spans="2:5" ht="12.5">
      <c r="B542" s="40" t="str">
        <f ca="1">IFERROR(__xludf.DUMMYFUNCTION("""COMPUTED_VALUE"""),"")</f>
        <v/>
      </c>
      <c r="E542" s="169"/>
    </row>
    <row r="543" spans="2:5" ht="12.5">
      <c r="B543" s="40" t="str">
        <f ca="1">IFERROR(__xludf.DUMMYFUNCTION("""COMPUTED_VALUE"""),"")</f>
        <v/>
      </c>
      <c r="E543" s="169"/>
    </row>
    <row r="544" spans="2:5" ht="12.5">
      <c r="B544" s="40" t="str">
        <f ca="1">IFERROR(__xludf.DUMMYFUNCTION("""COMPUTED_VALUE"""),"")</f>
        <v/>
      </c>
      <c r="E544" s="169"/>
    </row>
    <row r="545" spans="2:5" ht="12.5">
      <c r="B545" s="40" t="str">
        <f ca="1">IFERROR(__xludf.DUMMYFUNCTION("""COMPUTED_VALUE"""),"")</f>
        <v/>
      </c>
      <c r="E545" s="169"/>
    </row>
    <row r="546" spans="2:5" ht="12.5">
      <c r="B546" s="40" t="str">
        <f ca="1">IFERROR(__xludf.DUMMYFUNCTION("""COMPUTED_VALUE"""),"")</f>
        <v/>
      </c>
      <c r="E546" s="169"/>
    </row>
    <row r="547" spans="2:5" ht="12.5">
      <c r="B547" s="40" t="str">
        <f ca="1">IFERROR(__xludf.DUMMYFUNCTION("""COMPUTED_VALUE"""),"")</f>
        <v/>
      </c>
      <c r="E547" s="169"/>
    </row>
    <row r="548" spans="2:5" ht="12.5">
      <c r="B548" s="40" t="str">
        <f ca="1">IFERROR(__xludf.DUMMYFUNCTION("""COMPUTED_VALUE"""),"")</f>
        <v/>
      </c>
      <c r="E548" s="169"/>
    </row>
    <row r="549" spans="2:5" ht="12.5">
      <c r="B549" s="40" t="str">
        <f ca="1">IFERROR(__xludf.DUMMYFUNCTION("""COMPUTED_VALUE"""),"")</f>
        <v/>
      </c>
      <c r="E549" s="169"/>
    </row>
    <row r="550" spans="2:5" ht="12.5">
      <c r="B550" s="40" t="str">
        <f ca="1">IFERROR(__xludf.DUMMYFUNCTION("""COMPUTED_VALUE"""),"")</f>
        <v/>
      </c>
      <c r="E550" s="169"/>
    </row>
    <row r="551" spans="2:5" ht="12.5">
      <c r="B551" s="40" t="str">
        <f ca="1">IFERROR(__xludf.DUMMYFUNCTION("""COMPUTED_VALUE"""),"")</f>
        <v/>
      </c>
      <c r="E551" s="169"/>
    </row>
    <row r="552" spans="2:5" ht="12.5">
      <c r="B552" s="40" t="str">
        <f ca="1">IFERROR(__xludf.DUMMYFUNCTION("""COMPUTED_VALUE"""),"")</f>
        <v/>
      </c>
      <c r="E552" s="169"/>
    </row>
    <row r="553" spans="2:5" ht="12.5">
      <c r="B553" s="40" t="str">
        <f ca="1">IFERROR(__xludf.DUMMYFUNCTION("""COMPUTED_VALUE"""),"")</f>
        <v/>
      </c>
      <c r="E553" s="169"/>
    </row>
    <row r="554" spans="2:5" ht="12.5">
      <c r="B554" s="40" t="str">
        <f ca="1">IFERROR(__xludf.DUMMYFUNCTION("""COMPUTED_VALUE"""),"")</f>
        <v/>
      </c>
      <c r="E554" s="169"/>
    </row>
    <row r="555" spans="2:5" ht="12.5">
      <c r="B555" s="40" t="str">
        <f ca="1">IFERROR(__xludf.DUMMYFUNCTION("""COMPUTED_VALUE"""),"")</f>
        <v/>
      </c>
      <c r="E555" s="169"/>
    </row>
    <row r="556" spans="2:5" ht="12.5">
      <c r="B556" s="40" t="str">
        <f ca="1">IFERROR(__xludf.DUMMYFUNCTION("""COMPUTED_VALUE"""),"")</f>
        <v/>
      </c>
      <c r="E556" s="169"/>
    </row>
    <row r="557" spans="2:5" ht="12.5">
      <c r="B557" s="40" t="str">
        <f ca="1">IFERROR(__xludf.DUMMYFUNCTION("""COMPUTED_VALUE"""),"")</f>
        <v/>
      </c>
      <c r="E557" s="169"/>
    </row>
    <row r="558" spans="2:5" ht="12.5">
      <c r="B558" s="40" t="str">
        <f ca="1">IFERROR(__xludf.DUMMYFUNCTION("""COMPUTED_VALUE"""),"")</f>
        <v/>
      </c>
      <c r="E558" s="169"/>
    </row>
    <row r="559" spans="2:5" ht="12.5">
      <c r="B559" s="40" t="str">
        <f ca="1">IFERROR(__xludf.DUMMYFUNCTION("""COMPUTED_VALUE"""),"")</f>
        <v/>
      </c>
      <c r="E559" s="169"/>
    </row>
    <row r="560" spans="2:5" ht="12.5">
      <c r="B560" s="40" t="str">
        <f ca="1">IFERROR(__xludf.DUMMYFUNCTION("""COMPUTED_VALUE"""),"")</f>
        <v/>
      </c>
      <c r="E560" s="169"/>
    </row>
    <row r="561" spans="2:5" ht="12.5">
      <c r="B561" s="40" t="str">
        <f ca="1">IFERROR(__xludf.DUMMYFUNCTION("""COMPUTED_VALUE"""),"")</f>
        <v/>
      </c>
      <c r="E561" s="169"/>
    </row>
    <row r="562" spans="2:5" ht="12.5">
      <c r="B562" s="40" t="str">
        <f ca="1">IFERROR(__xludf.DUMMYFUNCTION("""COMPUTED_VALUE"""),"")</f>
        <v/>
      </c>
      <c r="E562" s="169"/>
    </row>
    <row r="563" spans="2:5" ht="12.5">
      <c r="B563" s="40" t="str">
        <f ca="1">IFERROR(__xludf.DUMMYFUNCTION("""COMPUTED_VALUE"""),"")</f>
        <v/>
      </c>
      <c r="E563" s="169"/>
    </row>
    <row r="564" spans="2:5" ht="12.5">
      <c r="B564" s="40" t="str">
        <f ca="1">IFERROR(__xludf.DUMMYFUNCTION("""COMPUTED_VALUE"""),"")</f>
        <v/>
      </c>
      <c r="E564" s="169"/>
    </row>
    <row r="565" spans="2:5" ht="12.5">
      <c r="B565" s="40" t="str">
        <f ca="1">IFERROR(__xludf.DUMMYFUNCTION("""COMPUTED_VALUE"""),"")</f>
        <v/>
      </c>
      <c r="E565" s="169"/>
    </row>
    <row r="566" spans="2:5" ht="12.5">
      <c r="B566" s="40" t="str">
        <f ca="1">IFERROR(__xludf.DUMMYFUNCTION("""COMPUTED_VALUE"""),"")</f>
        <v/>
      </c>
      <c r="E566" s="169"/>
    </row>
    <row r="567" spans="2:5" ht="12.5">
      <c r="B567" s="40" t="str">
        <f ca="1">IFERROR(__xludf.DUMMYFUNCTION("""COMPUTED_VALUE"""),"")</f>
        <v/>
      </c>
      <c r="E567" s="169"/>
    </row>
    <row r="568" spans="2:5" ht="12.5">
      <c r="B568" s="40" t="str">
        <f ca="1">IFERROR(__xludf.DUMMYFUNCTION("""COMPUTED_VALUE"""),"")</f>
        <v/>
      </c>
      <c r="E568" s="169"/>
    </row>
    <row r="569" spans="2:5" ht="12.5">
      <c r="B569" s="40" t="str">
        <f ca="1">IFERROR(__xludf.DUMMYFUNCTION("""COMPUTED_VALUE"""),"")</f>
        <v/>
      </c>
      <c r="E569" s="169"/>
    </row>
    <row r="570" spans="2:5" ht="12.5">
      <c r="B570" s="40" t="str">
        <f ca="1">IFERROR(__xludf.DUMMYFUNCTION("""COMPUTED_VALUE"""),"")</f>
        <v/>
      </c>
      <c r="E570" s="169"/>
    </row>
    <row r="571" spans="2:5" ht="12.5">
      <c r="B571" s="40" t="str">
        <f ca="1">IFERROR(__xludf.DUMMYFUNCTION("""COMPUTED_VALUE"""),"")</f>
        <v/>
      </c>
      <c r="E571" s="169"/>
    </row>
    <row r="572" spans="2:5" ht="12.5">
      <c r="B572" s="40" t="str">
        <f ca="1">IFERROR(__xludf.DUMMYFUNCTION("""COMPUTED_VALUE"""),"")</f>
        <v/>
      </c>
      <c r="E572" s="169"/>
    </row>
    <row r="573" spans="2:5" ht="12.5">
      <c r="B573" s="40" t="str">
        <f ca="1">IFERROR(__xludf.DUMMYFUNCTION("""COMPUTED_VALUE"""),"")</f>
        <v/>
      </c>
      <c r="E573" s="169"/>
    </row>
    <row r="574" spans="2:5" ht="12.5">
      <c r="B574" s="40" t="str">
        <f ca="1">IFERROR(__xludf.DUMMYFUNCTION("""COMPUTED_VALUE"""),"")</f>
        <v/>
      </c>
      <c r="E574" s="169"/>
    </row>
    <row r="575" spans="2:5" ht="12.5">
      <c r="B575" s="40" t="str">
        <f ca="1">IFERROR(__xludf.DUMMYFUNCTION("""COMPUTED_VALUE"""),"")</f>
        <v/>
      </c>
      <c r="E575" s="169"/>
    </row>
    <row r="576" spans="2:5" ht="12.5">
      <c r="B576" s="40" t="str">
        <f ca="1">IFERROR(__xludf.DUMMYFUNCTION("""COMPUTED_VALUE"""),"")</f>
        <v/>
      </c>
      <c r="E576" s="169"/>
    </row>
    <row r="577" spans="2:5" ht="12.5">
      <c r="B577" s="40" t="str">
        <f ca="1">IFERROR(__xludf.DUMMYFUNCTION("""COMPUTED_VALUE"""),"")</f>
        <v/>
      </c>
      <c r="E577" s="169"/>
    </row>
    <row r="578" spans="2:5" ht="12.5">
      <c r="B578" s="40" t="str">
        <f ca="1">IFERROR(__xludf.DUMMYFUNCTION("""COMPUTED_VALUE"""),"")</f>
        <v/>
      </c>
      <c r="E578" s="169"/>
    </row>
    <row r="579" spans="2:5" ht="12.5">
      <c r="B579" s="40" t="str">
        <f ca="1">IFERROR(__xludf.DUMMYFUNCTION("""COMPUTED_VALUE"""),"")</f>
        <v/>
      </c>
      <c r="E579" s="169"/>
    </row>
    <row r="580" spans="2:5" ht="12.5">
      <c r="B580" s="40" t="str">
        <f ca="1">IFERROR(__xludf.DUMMYFUNCTION("""COMPUTED_VALUE"""),"")</f>
        <v/>
      </c>
      <c r="E580" s="169"/>
    </row>
    <row r="581" spans="2:5" ht="12.5">
      <c r="B581" s="40" t="str">
        <f ca="1">IFERROR(__xludf.DUMMYFUNCTION("""COMPUTED_VALUE"""),"")</f>
        <v/>
      </c>
      <c r="E581" s="169"/>
    </row>
    <row r="582" spans="2:5" ht="12.5">
      <c r="B582" s="40" t="str">
        <f ca="1">IFERROR(__xludf.DUMMYFUNCTION("""COMPUTED_VALUE"""),"")</f>
        <v/>
      </c>
      <c r="E582" s="169"/>
    </row>
    <row r="583" spans="2:5" ht="12.5">
      <c r="B583" s="40" t="str">
        <f ca="1">IFERROR(__xludf.DUMMYFUNCTION("""COMPUTED_VALUE"""),"")</f>
        <v/>
      </c>
      <c r="E583" s="169"/>
    </row>
    <row r="584" spans="2:5" ht="12.5">
      <c r="B584" s="40" t="str">
        <f ca="1">IFERROR(__xludf.DUMMYFUNCTION("""COMPUTED_VALUE"""),"")</f>
        <v/>
      </c>
      <c r="E584" s="169"/>
    </row>
    <row r="585" spans="2:5" ht="12.5">
      <c r="B585" s="40" t="str">
        <f ca="1">IFERROR(__xludf.DUMMYFUNCTION("""COMPUTED_VALUE"""),"")</f>
        <v/>
      </c>
      <c r="E585" s="169"/>
    </row>
    <row r="586" spans="2:5" ht="12.5">
      <c r="B586" s="40" t="str">
        <f ca="1">IFERROR(__xludf.DUMMYFUNCTION("""COMPUTED_VALUE"""),"")</f>
        <v/>
      </c>
      <c r="E586" s="169"/>
    </row>
    <row r="587" spans="2:5" ht="12.5">
      <c r="B587" s="40" t="str">
        <f ca="1">IFERROR(__xludf.DUMMYFUNCTION("""COMPUTED_VALUE"""),"")</f>
        <v/>
      </c>
      <c r="E587" s="169"/>
    </row>
    <row r="588" spans="2:5" ht="12.5">
      <c r="B588" s="40" t="str">
        <f ca="1">IFERROR(__xludf.DUMMYFUNCTION("""COMPUTED_VALUE"""),"")</f>
        <v/>
      </c>
      <c r="E588" s="169"/>
    </row>
    <row r="589" spans="2:5" ht="12.5">
      <c r="B589" s="40" t="str">
        <f ca="1">IFERROR(__xludf.DUMMYFUNCTION("""COMPUTED_VALUE"""),"")</f>
        <v/>
      </c>
      <c r="E589" s="169"/>
    </row>
    <row r="590" spans="2:5" ht="12.5">
      <c r="B590" s="40" t="str">
        <f ca="1">IFERROR(__xludf.DUMMYFUNCTION("""COMPUTED_VALUE"""),"")</f>
        <v/>
      </c>
      <c r="E590" s="169"/>
    </row>
    <row r="591" spans="2:5" ht="12.5">
      <c r="B591" s="40" t="str">
        <f ca="1">IFERROR(__xludf.DUMMYFUNCTION("""COMPUTED_VALUE"""),"")</f>
        <v/>
      </c>
      <c r="E591" s="169"/>
    </row>
    <row r="592" spans="2:5" ht="12.5">
      <c r="B592" s="40" t="str">
        <f ca="1">IFERROR(__xludf.DUMMYFUNCTION("""COMPUTED_VALUE"""),"")</f>
        <v/>
      </c>
      <c r="E592" s="169"/>
    </row>
    <row r="593" spans="2:5" ht="12.5">
      <c r="B593" s="40" t="str">
        <f ca="1">IFERROR(__xludf.DUMMYFUNCTION("""COMPUTED_VALUE"""),"")</f>
        <v/>
      </c>
      <c r="E593" s="169"/>
    </row>
    <row r="594" spans="2:5" ht="12.5">
      <c r="B594" s="40" t="str">
        <f ca="1">IFERROR(__xludf.DUMMYFUNCTION("""COMPUTED_VALUE"""),"")</f>
        <v/>
      </c>
      <c r="E594" s="169"/>
    </row>
    <row r="595" spans="2:5" ht="12.5">
      <c r="B595" s="40" t="str">
        <f ca="1">IFERROR(__xludf.DUMMYFUNCTION("""COMPUTED_VALUE"""),"")</f>
        <v/>
      </c>
      <c r="E595" s="169"/>
    </row>
    <row r="596" spans="2:5" ht="12.5">
      <c r="B596" s="40" t="str">
        <f ca="1">IFERROR(__xludf.DUMMYFUNCTION("""COMPUTED_VALUE"""),"")</f>
        <v/>
      </c>
      <c r="E596" s="169"/>
    </row>
    <row r="597" spans="2:5" ht="12.5">
      <c r="B597" s="40" t="str">
        <f ca="1">IFERROR(__xludf.DUMMYFUNCTION("""COMPUTED_VALUE"""),"")</f>
        <v/>
      </c>
      <c r="E597" s="169"/>
    </row>
    <row r="598" spans="2:5" ht="12.5">
      <c r="B598" s="40" t="str">
        <f ca="1">IFERROR(__xludf.DUMMYFUNCTION("""COMPUTED_VALUE"""),"")</f>
        <v/>
      </c>
      <c r="E598" s="169"/>
    </row>
    <row r="599" spans="2:5" ht="12.5">
      <c r="B599" s="40" t="str">
        <f ca="1">IFERROR(__xludf.DUMMYFUNCTION("""COMPUTED_VALUE"""),"")</f>
        <v/>
      </c>
      <c r="E599" s="169"/>
    </row>
    <row r="600" spans="2:5" ht="12.5">
      <c r="B600" s="40" t="str">
        <f ca="1">IFERROR(__xludf.DUMMYFUNCTION("""COMPUTED_VALUE"""),"")</f>
        <v/>
      </c>
      <c r="E600" s="169"/>
    </row>
    <row r="601" spans="2:5" ht="12.5">
      <c r="B601" s="40" t="str">
        <f ca="1">IFERROR(__xludf.DUMMYFUNCTION("""COMPUTED_VALUE"""),"")</f>
        <v/>
      </c>
      <c r="E601" s="169"/>
    </row>
    <row r="602" spans="2:5" ht="12.5">
      <c r="B602" s="40" t="str">
        <f ca="1">IFERROR(__xludf.DUMMYFUNCTION("""COMPUTED_VALUE"""),"")</f>
        <v/>
      </c>
      <c r="E602" s="169"/>
    </row>
    <row r="603" spans="2:5" ht="12.5">
      <c r="B603" s="40" t="str">
        <f ca="1">IFERROR(__xludf.DUMMYFUNCTION("""COMPUTED_VALUE"""),"")</f>
        <v/>
      </c>
      <c r="E603" s="169"/>
    </row>
    <row r="604" spans="2:5" ht="12.5">
      <c r="B604" s="40" t="str">
        <f ca="1">IFERROR(__xludf.DUMMYFUNCTION("""COMPUTED_VALUE"""),"")</f>
        <v/>
      </c>
      <c r="E604" s="169"/>
    </row>
    <row r="605" spans="2:5" ht="12.5">
      <c r="B605" s="40" t="str">
        <f ca="1">IFERROR(__xludf.DUMMYFUNCTION("""COMPUTED_VALUE"""),"")</f>
        <v/>
      </c>
      <c r="E605" s="169"/>
    </row>
    <row r="606" spans="2:5" ht="12.5">
      <c r="B606" s="40" t="str">
        <f ca="1">IFERROR(__xludf.DUMMYFUNCTION("""COMPUTED_VALUE"""),"")</f>
        <v/>
      </c>
      <c r="E606" s="169"/>
    </row>
    <row r="607" spans="2:5" ht="12.5">
      <c r="B607" s="40" t="str">
        <f ca="1">IFERROR(__xludf.DUMMYFUNCTION("""COMPUTED_VALUE"""),"")</f>
        <v/>
      </c>
      <c r="E607" s="169"/>
    </row>
    <row r="608" spans="2:5" ht="12.5">
      <c r="B608" s="40" t="str">
        <f ca="1">IFERROR(__xludf.DUMMYFUNCTION("""COMPUTED_VALUE"""),"")</f>
        <v/>
      </c>
      <c r="E608" s="169"/>
    </row>
    <row r="609" spans="2:5" ht="12.5">
      <c r="B609" s="40" t="str">
        <f ca="1">IFERROR(__xludf.DUMMYFUNCTION("""COMPUTED_VALUE"""),"")</f>
        <v/>
      </c>
      <c r="E609" s="169"/>
    </row>
    <row r="610" spans="2:5" ht="12.5">
      <c r="B610" s="40" t="str">
        <f ca="1">IFERROR(__xludf.DUMMYFUNCTION("""COMPUTED_VALUE"""),"")</f>
        <v/>
      </c>
      <c r="E610" s="169"/>
    </row>
    <row r="611" spans="2:5" ht="12.5">
      <c r="B611" s="40" t="str">
        <f ca="1">IFERROR(__xludf.DUMMYFUNCTION("""COMPUTED_VALUE"""),"")</f>
        <v/>
      </c>
      <c r="E611" s="169"/>
    </row>
    <row r="612" spans="2:5" ht="12.5">
      <c r="B612" s="40" t="str">
        <f ca="1">IFERROR(__xludf.DUMMYFUNCTION("""COMPUTED_VALUE"""),"")</f>
        <v/>
      </c>
      <c r="E612" s="169"/>
    </row>
    <row r="613" spans="2:5" ht="12.5">
      <c r="B613" s="40" t="str">
        <f ca="1">IFERROR(__xludf.DUMMYFUNCTION("""COMPUTED_VALUE"""),"")</f>
        <v/>
      </c>
      <c r="E613" s="169"/>
    </row>
    <row r="614" spans="2:5" ht="12.5">
      <c r="B614" s="40" t="str">
        <f ca="1">IFERROR(__xludf.DUMMYFUNCTION("""COMPUTED_VALUE"""),"")</f>
        <v/>
      </c>
      <c r="E614" s="169"/>
    </row>
    <row r="615" spans="2:5" ht="12.5">
      <c r="B615" s="40" t="str">
        <f ca="1">IFERROR(__xludf.DUMMYFUNCTION("""COMPUTED_VALUE"""),"")</f>
        <v/>
      </c>
      <c r="E615" s="169"/>
    </row>
    <row r="616" spans="2:5" ht="12.5">
      <c r="B616" s="40" t="str">
        <f ca="1">IFERROR(__xludf.DUMMYFUNCTION("""COMPUTED_VALUE"""),"")</f>
        <v/>
      </c>
      <c r="E616" s="169"/>
    </row>
    <row r="617" spans="2:5" ht="12.5">
      <c r="B617" s="40" t="str">
        <f ca="1">IFERROR(__xludf.DUMMYFUNCTION("""COMPUTED_VALUE"""),"")</f>
        <v/>
      </c>
      <c r="E617" s="169"/>
    </row>
    <row r="618" spans="2:5" ht="12.5">
      <c r="B618" s="40" t="str">
        <f ca="1">IFERROR(__xludf.DUMMYFUNCTION("""COMPUTED_VALUE"""),"")</f>
        <v/>
      </c>
      <c r="E618" s="169"/>
    </row>
    <row r="619" spans="2:5" ht="12.5">
      <c r="B619" s="40" t="str">
        <f ca="1">IFERROR(__xludf.DUMMYFUNCTION("""COMPUTED_VALUE"""),"")</f>
        <v/>
      </c>
      <c r="E619" s="169"/>
    </row>
    <row r="620" spans="2:5" ht="12.5">
      <c r="B620" s="40" t="str">
        <f ca="1">IFERROR(__xludf.DUMMYFUNCTION("""COMPUTED_VALUE"""),"")</f>
        <v/>
      </c>
      <c r="E620" s="169"/>
    </row>
    <row r="621" spans="2:5" ht="12.5">
      <c r="B621" s="40" t="str">
        <f ca="1">IFERROR(__xludf.DUMMYFUNCTION("""COMPUTED_VALUE"""),"")</f>
        <v/>
      </c>
      <c r="E621" s="169"/>
    </row>
    <row r="622" spans="2:5" ht="12.5">
      <c r="B622" s="40" t="str">
        <f ca="1">IFERROR(__xludf.DUMMYFUNCTION("""COMPUTED_VALUE"""),"")</f>
        <v/>
      </c>
      <c r="E622" s="169"/>
    </row>
    <row r="623" spans="2:5" ht="12.5">
      <c r="B623" s="40" t="str">
        <f ca="1">IFERROR(__xludf.DUMMYFUNCTION("""COMPUTED_VALUE"""),"")</f>
        <v/>
      </c>
      <c r="E623" s="169"/>
    </row>
    <row r="624" spans="2:5" ht="12.5">
      <c r="B624" s="40" t="str">
        <f ca="1">IFERROR(__xludf.DUMMYFUNCTION("""COMPUTED_VALUE"""),"")</f>
        <v/>
      </c>
      <c r="E624" s="169"/>
    </row>
    <row r="625" spans="2:5" ht="12.5">
      <c r="B625" s="40" t="str">
        <f ca="1">IFERROR(__xludf.DUMMYFUNCTION("""COMPUTED_VALUE"""),"")</f>
        <v/>
      </c>
      <c r="E625" s="169"/>
    </row>
    <row r="626" spans="2:5" ht="12.5">
      <c r="B626" s="40" t="str">
        <f ca="1">IFERROR(__xludf.DUMMYFUNCTION("""COMPUTED_VALUE"""),"")</f>
        <v/>
      </c>
      <c r="E626" s="169"/>
    </row>
    <row r="627" spans="2:5" ht="12.5">
      <c r="B627" s="40" t="str">
        <f ca="1">IFERROR(__xludf.DUMMYFUNCTION("""COMPUTED_VALUE"""),"")</f>
        <v/>
      </c>
      <c r="E627" s="169"/>
    </row>
    <row r="628" spans="2:5" ht="12.5">
      <c r="B628" s="40" t="str">
        <f ca="1">IFERROR(__xludf.DUMMYFUNCTION("""COMPUTED_VALUE"""),"")</f>
        <v/>
      </c>
      <c r="E628" s="169"/>
    </row>
    <row r="629" spans="2:5" ht="12.5">
      <c r="B629" s="40" t="str">
        <f ca="1">IFERROR(__xludf.DUMMYFUNCTION("""COMPUTED_VALUE"""),"")</f>
        <v/>
      </c>
      <c r="E629" s="169"/>
    </row>
    <row r="630" spans="2:5" ht="12.5">
      <c r="B630" s="40" t="str">
        <f ca="1">IFERROR(__xludf.DUMMYFUNCTION("""COMPUTED_VALUE"""),"")</f>
        <v/>
      </c>
      <c r="E630" s="169"/>
    </row>
    <row r="631" spans="2:5" ht="12.5">
      <c r="B631" s="40" t="str">
        <f ca="1">IFERROR(__xludf.DUMMYFUNCTION("""COMPUTED_VALUE"""),"")</f>
        <v/>
      </c>
      <c r="E631" s="169"/>
    </row>
    <row r="632" spans="2:5" ht="12.5">
      <c r="B632" s="40" t="str">
        <f ca="1">IFERROR(__xludf.DUMMYFUNCTION("""COMPUTED_VALUE"""),"")</f>
        <v/>
      </c>
      <c r="E632" s="169"/>
    </row>
    <row r="633" spans="2:5" ht="12.5">
      <c r="B633" s="40" t="str">
        <f ca="1">IFERROR(__xludf.DUMMYFUNCTION("""COMPUTED_VALUE"""),"")</f>
        <v/>
      </c>
      <c r="E633" s="169"/>
    </row>
    <row r="634" spans="2:5" ht="12.5">
      <c r="B634" s="40" t="str">
        <f ca="1">IFERROR(__xludf.DUMMYFUNCTION("""COMPUTED_VALUE"""),"")</f>
        <v/>
      </c>
      <c r="E634" s="169"/>
    </row>
    <row r="635" spans="2:5" ht="12.5">
      <c r="B635" s="40" t="str">
        <f ca="1">IFERROR(__xludf.DUMMYFUNCTION("""COMPUTED_VALUE"""),"")</f>
        <v/>
      </c>
      <c r="E635" s="169"/>
    </row>
    <row r="636" spans="2:5" ht="12.5">
      <c r="B636" s="40" t="str">
        <f ca="1">IFERROR(__xludf.DUMMYFUNCTION("""COMPUTED_VALUE"""),"")</f>
        <v/>
      </c>
      <c r="E636" s="169"/>
    </row>
    <row r="637" spans="2:5" ht="12.5">
      <c r="B637" s="40" t="str">
        <f ca="1">IFERROR(__xludf.DUMMYFUNCTION("""COMPUTED_VALUE"""),"")</f>
        <v/>
      </c>
      <c r="E637" s="169"/>
    </row>
    <row r="638" spans="2:5" ht="12.5">
      <c r="B638" s="40" t="str">
        <f ca="1">IFERROR(__xludf.DUMMYFUNCTION("""COMPUTED_VALUE"""),"")</f>
        <v/>
      </c>
      <c r="E638" s="169"/>
    </row>
    <row r="639" spans="2:5" ht="12.5">
      <c r="B639" s="40" t="str">
        <f ca="1">IFERROR(__xludf.DUMMYFUNCTION("""COMPUTED_VALUE"""),"")</f>
        <v/>
      </c>
      <c r="E639" s="169"/>
    </row>
    <row r="640" spans="2:5" ht="12.5">
      <c r="B640" s="40" t="str">
        <f ca="1">IFERROR(__xludf.DUMMYFUNCTION("""COMPUTED_VALUE"""),"")</f>
        <v/>
      </c>
      <c r="E640" s="169"/>
    </row>
    <row r="641" spans="2:5" ht="12.5">
      <c r="B641" s="40" t="str">
        <f ca="1">IFERROR(__xludf.DUMMYFUNCTION("""COMPUTED_VALUE"""),"")</f>
        <v/>
      </c>
      <c r="E641" s="169"/>
    </row>
    <row r="642" spans="2:5" ht="12.5">
      <c r="B642" s="40" t="str">
        <f ca="1">IFERROR(__xludf.DUMMYFUNCTION("""COMPUTED_VALUE"""),"")</f>
        <v/>
      </c>
      <c r="E642" s="169"/>
    </row>
    <row r="643" spans="2:5" ht="12.5">
      <c r="B643" s="40" t="str">
        <f ca="1">IFERROR(__xludf.DUMMYFUNCTION("""COMPUTED_VALUE"""),"")</f>
        <v/>
      </c>
      <c r="E643" s="169"/>
    </row>
    <row r="644" spans="2:5" ht="12.5">
      <c r="B644" s="40" t="str">
        <f ca="1">IFERROR(__xludf.DUMMYFUNCTION("""COMPUTED_VALUE"""),"")</f>
        <v/>
      </c>
      <c r="E644" s="169"/>
    </row>
    <row r="645" spans="2:5" ht="12.5">
      <c r="B645" s="40" t="str">
        <f ca="1">IFERROR(__xludf.DUMMYFUNCTION("""COMPUTED_VALUE"""),"")</f>
        <v/>
      </c>
      <c r="E645" s="169"/>
    </row>
    <row r="646" spans="2:5" ht="12.5">
      <c r="B646" s="40" t="str">
        <f ca="1">IFERROR(__xludf.DUMMYFUNCTION("""COMPUTED_VALUE"""),"")</f>
        <v/>
      </c>
      <c r="E646" s="169"/>
    </row>
    <row r="647" spans="2:5" ht="12.5">
      <c r="B647" s="40" t="str">
        <f ca="1">IFERROR(__xludf.DUMMYFUNCTION("""COMPUTED_VALUE"""),"")</f>
        <v/>
      </c>
      <c r="E647" s="169"/>
    </row>
    <row r="648" spans="2:5" ht="12.5">
      <c r="B648" s="40" t="str">
        <f ca="1">IFERROR(__xludf.DUMMYFUNCTION("""COMPUTED_VALUE"""),"")</f>
        <v/>
      </c>
      <c r="E648" s="169"/>
    </row>
    <row r="649" spans="2:5" ht="12.5">
      <c r="B649" s="40" t="str">
        <f ca="1">IFERROR(__xludf.DUMMYFUNCTION("""COMPUTED_VALUE"""),"")</f>
        <v/>
      </c>
      <c r="E649" s="169"/>
    </row>
    <row r="650" spans="2:5" ht="12.5">
      <c r="B650" s="40" t="str">
        <f ca="1">IFERROR(__xludf.DUMMYFUNCTION("""COMPUTED_VALUE"""),"")</f>
        <v/>
      </c>
      <c r="E650" s="169"/>
    </row>
    <row r="651" spans="2:5" ht="12.5">
      <c r="B651" s="40" t="str">
        <f ca="1">IFERROR(__xludf.DUMMYFUNCTION("""COMPUTED_VALUE"""),"")</f>
        <v/>
      </c>
      <c r="E651" s="169"/>
    </row>
    <row r="652" spans="2:5" ht="12.5">
      <c r="B652" s="40" t="str">
        <f ca="1">IFERROR(__xludf.DUMMYFUNCTION("""COMPUTED_VALUE"""),"")</f>
        <v/>
      </c>
      <c r="E652" s="169"/>
    </row>
    <row r="653" spans="2:5" ht="12.5">
      <c r="B653" s="40" t="str">
        <f ca="1">IFERROR(__xludf.DUMMYFUNCTION("""COMPUTED_VALUE"""),"")</f>
        <v/>
      </c>
      <c r="E653" s="169"/>
    </row>
    <row r="654" spans="2:5" ht="12.5">
      <c r="B654" s="40" t="str">
        <f ca="1">IFERROR(__xludf.DUMMYFUNCTION("""COMPUTED_VALUE"""),"")</f>
        <v/>
      </c>
      <c r="E654" s="169"/>
    </row>
    <row r="655" spans="2:5" ht="12.5">
      <c r="B655" s="40" t="str">
        <f ca="1">IFERROR(__xludf.DUMMYFUNCTION("""COMPUTED_VALUE"""),"")</f>
        <v/>
      </c>
      <c r="E655" s="169"/>
    </row>
    <row r="656" spans="2:5" ht="12.5">
      <c r="B656" s="40" t="str">
        <f ca="1">IFERROR(__xludf.DUMMYFUNCTION("""COMPUTED_VALUE"""),"")</f>
        <v/>
      </c>
      <c r="E656" s="169"/>
    </row>
    <row r="657" spans="2:5" ht="12.5">
      <c r="B657" s="40" t="str">
        <f ca="1">IFERROR(__xludf.DUMMYFUNCTION("""COMPUTED_VALUE"""),"")</f>
        <v/>
      </c>
      <c r="E657" s="169"/>
    </row>
    <row r="658" spans="2:5" ht="12.5">
      <c r="B658" s="40" t="str">
        <f ca="1">IFERROR(__xludf.DUMMYFUNCTION("""COMPUTED_VALUE"""),"")</f>
        <v/>
      </c>
      <c r="E658" s="169"/>
    </row>
    <row r="659" spans="2:5" ht="12.5">
      <c r="B659" s="40" t="str">
        <f ca="1">IFERROR(__xludf.DUMMYFUNCTION("""COMPUTED_VALUE"""),"")</f>
        <v/>
      </c>
      <c r="E659" s="169"/>
    </row>
    <row r="660" spans="2:5" ht="12.5">
      <c r="B660" s="40" t="str">
        <f ca="1">IFERROR(__xludf.DUMMYFUNCTION("""COMPUTED_VALUE"""),"")</f>
        <v/>
      </c>
      <c r="E660" s="169"/>
    </row>
    <row r="661" spans="2:5" ht="12.5">
      <c r="B661" s="40" t="str">
        <f ca="1">IFERROR(__xludf.DUMMYFUNCTION("""COMPUTED_VALUE"""),"")</f>
        <v/>
      </c>
      <c r="E661" s="169"/>
    </row>
    <row r="662" spans="2:5" ht="12.5">
      <c r="B662" s="40" t="str">
        <f ca="1">IFERROR(__xludf.DUMMYFUNCTION("""COMPUTED_VALUE"""),"")</f>
        <v/>
      </c>
      <c r="E662" s="169"/>
    </row>
    <row r="663" spans="2:5" ht="12.5">
      <c r="B663" s="40" t="str">
        <f ca="1">IFERROR(__xludf.DUMMYFUNCTION("""COMPUTED_VALUE"""),"")</f>
        <v/>
      </c>
      <c r="E663" s="169"/>
    </row>
    <row r="664" spans="2:5" ht="12.5">
      <c r="B664" s="40" t="str">
        <f ca="1">IFERROR(__xludf.DUMMYFUNCTION("""COMPUTED_VALUE"""),"")</f>
        <v/>
      </c>
      <c r="E664" s="169"/>
    </row>
    <row r="665" spans="2:5" ht="12.5">
      <c r="B665" s="40" t="str">
        <f ca="1">IFERROR(__xludf.DUMMYFUNCTION("""COMPUTED_VALUE"""),"")</f>
        <v/>
      </c>
      <c r="E665" s="169"/>
    </row>
    <row r="666" spans="2:5" ht="12.5">
      <c r="B666" s="40" t="str">
        <f ca="1">IFERROR(__xludf.DUMMYFUNCTION("""COMPUTED_VALUE"""),"")</f>
        <v/>
      </c>
      <c r="E666" s="169"/>
    </row>
    <row r="667" spans="2:5" ht="12.5">
      <c r="B667" s="40" t="str">
        <f ca="1">IFERROR(__xludf.DUMMYFUNCTION("""COMPUTED_VALUE"""),"")</f>
        <v/>
      </c>
      <c r="E667" s="169"/>
    </row>
    <row r="668" spans="2:5" ht="12.5">
      <c r="B668" s="40" t="str">
        <f ca="1">IFERROR(__xludf.DUMMYFUNCTION("""COMPUTED_VALUE"""),"")</f>
        <v/>
      </c>
      <c r="E668" s="169"/>
    </row>
    <row r="669" spans="2:5" ht="12.5">
      <c r="B669" s="40" t="str">
        <f ca="1">IFERROR(__xludf.DUMMYFUNCTION("""COMPUTED_VALUE"""),"")</f>
        <v/>
      </c>
      <c r="E669" s="169"/>
    </row>
    <row r="670" spans="2:5" ht="12.5">
      <c r="B670" s="40" t="str">
        <f ca="1">IFERROR(__xludf.DUMMYFUNCTION("""COMPUTED_VALUE"""),"")</f>
        <v/>
      </c>
      <c r="E670" s="169"/>
    </row>
    <row r="671" spans="2:5" ht="12.5">
      <c r="B671" s="40" t="str">
        <f ca="1">IFERROR(__xludf.DUMMYFUNCTION("""COMPUTED_VALUE"""),"")</f>
        <v/>
      </c>
      <c r="E671" s="169"/>
    </row>
    <row r="672" spans="2:5" ht="12.5">
      <c r="B672" s="40" t="str">
        <f ca="1">IFERROR(__xludf.DUMMYFUNCTION("""COMPUTED_VALUE"""),"")</f>
        <v/>
      </c>
      <c r="E672" s="169"/>
    </row>
    <row r="673" spans="2:5" ht="12.5">
      <c r="B673" s="40" t="str">
        <f ca="1">IFERROR(__xludf.DUMMYFUNCTION("""COMPUTED_VALUE"""),"")</f>
        <v/>
      </c>
      <c r="E673" s="169"/>
    </row>
    <row r="674" spans="2:5" ht="12.5">
      <c r="B674" s="40" t="str">
        <f ca="1">IFERROR(__xludf.DUMMYFUNCTION("""COMPUTED_VALUE"""),"")</f>
        <v/>
      </c>
      <c r="E674" s="169"/>
    </row>
    <row r="675" spans="2:5" ht="12.5">
      <c r="B675" s="40" t="str">
        <f ca="1">IFERROR(__xludf.DUMMYFUNCTION("""COMPUTED_VALUE"""),"")</f>
        <v/>
      </c>
      <c r="E675" s="169"/>
    </row>
    <row r="676" spans="2:5" ht="12.5">
      <c r="B676" s="40" t="str">
        <f ca="1">IFERROR(__xludf.DUMMYFUNCTION("""COMPUTED_VALUE"""),"")</f>
        <v/>
      </c>
      <c r="E676" s="169"/>
    </row>
    <row r="677" spans="2:5" ht="12.5">
      <c r="B677" s="40" t="str">
        <f ca="1">IFERROR(__xludf.DUMMYFUNCTION("""COMPUTED_VALUE"""),"")</f>
        <v/>
      </c>
      <c r="E677" s="169"/>
    </row>
    <row r="678" spans="2:5" ht="12.5">
      <c r="B678" s="40" t="str">
        <f ca="1">IFERROR(__xludf.DUMMYFUNCTION("""COMPUTED_VALUE"""),"")</f>
        <v/>
      </c>
      <c r="E678" s="169"/>
    </row>
    <row r="679" spans="2:5" ht="12.5">
      <c r="B679" s="40" t="str">
        <f ca="1">IFERROR(__xludf.DUMMYFUNCTION("""COMPUTED_VALUE"""),"")</f>
        <v/>
      </c>
      <c r="E679" s="169"/>
    </row>
    <row r="680" spans="2:5" ht="12.5">
      <c r="B680" s="40" t="str">
        <f ca="1">IFERROR(__xludf.DUMMYFUNCTION("""COMPUTED_VALUE"""),"")</f>
        <v/>
      </c>
      <c r="E680" s="169"/>
    </row>
    <row r="681" spans="2:5" ht="12.5">
      <c r="B681" s="40" t="str">
        <f ca="1">IFERROR(__xludf.DUMMYFUNCTION("""COMPUTED_VALUE"""),"")</f>
        <v/>
      </c>
      <c r="E681" s="169"/>
    </row>
    <row r="682" spans="2:5" ht="12.5">
      <c r="B682" s="40" t="str">
        <f ca="1">IFERROR(__xludf.DUMMYFUNCTION("""COMPUTED_VALUE"""),"")</f>
        <v/>
      </c>
      <c r="E682" s="169"/>
    </row>
    <row r="683" spans="2:5" ht="12.5">
      <c r="B683" s="40" t="str">
        <f ca="1">IFERROR(__xludf.DUMMYFUNCTION("""COMPUTED_VALUE"""),"")</f>
        <v/>
      </c>
      <c r="E683" s="169"/>
    </row>
    <row r="684" spans="2:5" ht="12.5">
      <c r="B684" s="40" t="str">
        <f ca="1">IFERROR(__xludf.DUMMYFUNCTION("""COMPUTED_VALUE"""),"")</f>
        <v/>
      </c>
      <c r="E684" s="169"/>
    </row>
    <row r="685" spans="2:5" ht="12.5">
      <c r="B685" s="40" t="str">
        <f ca="1">IFERROR(__xludf.DUMMYFUNCTION("""COMPUTED_VALUE"""),"")</f>
        <v/>
      </c>
      <c r="E685" s="169"/>
    </row>
    <row r="686" spans="2:5" ht="12.5">
      <c r="B686" s="40" t="str">
        <f ca="1">IFERROR(__xludf.DUMMYFUNCTION("""COMPUTED_VALUE"""),"")</f>
        <v/>
      </c>
      <c r="E686" s="169"/>
    </row>
    <row r="687" spans="2:5" ht="12.5">
      <c r="B687" s="40" t="str">
        <f ca="1">IFERROR(__xludf.DUMMYFUNCTION("""COMPUTED_VALUE"""),"")</f>
        <v/>
      </c>
      <c r="E687" s="169"/>
    </row>
    <row r="688" spans="2:5" ht="12.5">
      <c r="B688" s="40" t="str">
        <f ca="1">IFERROR(__xludf.DUMMYFUNCTION("""COMPUTED_VALUE"""),"")</f>
        <v/>
      </c>
      <c r="E688" s="169"/>
    </row>
    <row r="689" spans="2:5" ht="12.5">
      <c r="B689" s="40" t="str">
        <f ca="1">IFERROR(__xludf.DUMMYFUNCTION("""COMPUTED_VALUE"""),"")</f>
        <v/>
      </c>
      <c r="E689" s="169"/>
    </row>
    <row r="690" spans="2:5" ht="12.5">
      <c r="B690" s="40" t="str">
        <f ca="1">IFERROR(__xludf.DUMMYFUNCTION("""COMPUTED_VALUE"""),"")</f>
        <v/>
      </c>
      <c r="E690" s="169"/>
    </row>
    <row r="691" spans="2:5" ht="12.5">
      <c r="B691" s="40" t="str">
        <f ca="1">IFERROR(__xludf.DUMMYFUNCTION("""COMPUTED_VALUE"""),"")</f>
        <v/>
      </c>
      <c r="E691" s="169"/>
    </row>
    <row r="692" spans="2:5" ht="12.5">
      <c r="B692" s="40" t="str">
        <f ca="1">IFERROR(__xludf.DUMMYFUNCTION("""COMPUTED_VALUE"""),"")</f>
        <v/>
      </c>
      <c r="E692" s="169"/>
    </row>
    <row r="693" spans="2:5" ht="12.5">
      <c r="B693" s="40" t="str">
        <f ca="1">IFERROR(__xludf.DUMMYFUNCTION("""COMPUTED_VALUE"""),"")</f>
        <v/>
      </c>
      <c r="E693" s="169"/>
    </row>
    <row r="694" spans="2:5" ht="12.5">
      <c r="B694" s="40" t="str">
        <f ca="1">IFERROR(__xludf.DUMMYFUNCTION("""COMPUTED_VALUE"""),"")</f>
        <v/>
      </c>
      <c r="E694" s="169"/>
    </row>
    <row r="695" spans="2:5" ht="12.5">
      <c r="B695" s="40" t="str">
        <f ca="1">IFERROR(__xludf.DUMMYFUNCTION("""COMPUTED_VALUE"""),"")</f>
        <v/>
      </c>
      <c r="E695" s="169"/>
    </row>
    <row r="696" spans="2:5" ht="12.5">
      <c r="B696" s="40" t="str">
        <f ca="1">IFERROR(__xludf.DUMMYFUNCTION("""COMPUTED_VALUE"""),"")</f>
        <v/>
      </c>
      <c r="E696" s="169"/>
    </row>
    <row r="697" spans="2:5" ht="12.5">
      <c r="B697" s="40" t="str">
        <f ca="1">IFERROR(__xludf.DUMMYFUNCTION("""COMPUTED_VALUE"""),"")</f>
        <v/>
      </c>
      <c r="E697" s="169"/>
    </row>
    <row r="698" spans="2:5" ht="12.5">
      <c r="B698" s="40" t="str">
        <f ca="1">IFERROR(__xludf.DUMMYFUNCTION("""COMPUTED_VALUE"""),"")</f>
        <v/>
      </c>
      <c r="E698" s="169"/>
    </row>
    <row r="699" spans="2:5" ht="12.5">
      <c r="B699" s="40" t="str">
        <f ca="1">IFERROR(__xludf.DUMMYFUNCTION("""COMPUTED_VALUE"""),"")</f>
        <v/>
      </c>
      <c r="E699" s="169"/>
    </row>
    <row r="700" spans="2:5" ht="12.5">
      <c r="B700" s="40" t="str">
        <f ca="1">IFERROR(__xludf.DUMMYFUNCTION("""COMPUTED_VALUE"""),"")</f>
        <v/>
      </c>
      <c r="E700" s="169"/>
    </row>
    <row r="701" spans="2:5" ht="12.5">
      <c r="B701" s="40" t="str">
        <f ca="1">IFERROR(__xludf.DUMMYFUNCTION("""COMPUTED_VALUE"""),"")</f>
        <v/>
      </c>
      <c r="E701" s="169"/>
    </row>
    <row r="702" spans="2:5" ht="12.5">
      <c r="B702" s="40" t="str">
        <f ca="1">IFERROR(__xludf.DUMMYFUNCTION("""COMPUTED_VALUE"""),"")</f>
        <v/>
      </c>
      <c r="E702" s="169"/>
    </row>
    <row r="703" spans="2:5" ht="12.5">
      <c r="B703" s="40" t="str">
        <f ca="1">IFERROR(__xludf.DUMMYFUNCTION("""COMPUTED_VALUE"""),"")</f>
        <v/>
      </c>
      <c r="E703" s="169"/>
    </row>
    <row r="704" spans="2:5" ht="12.5">
      <c r="B704" s="40" t="str">
        <f ca="1">IFERROR(__xludf.DUMMYFUNCTION("""COMPUTED_VALUE"""),"")</f>
        <v/>
      </c>
      <c r="E704" s="169"/>
    </row>
    <row r="705" spans="2:5" ht="12.5">
      <c r="B705" s="40" t="str">
        <f ca="1">IFERROR(__xludf.DUMMYFUNCTION("""COMPUTED_VALUE"""),"")</f>
        <v/>
      </c>
      <c r="E705" s="169"/>
    </row>
    <row r="706" spans="2:5" ht="12.5">
      <c r="B706" s="40" t="str">
        <f ca="1">IFERROR(__xludf.DUMMYFUNCTION("""COMPUTED_VALUE"""),"")</f>
        <v/>
      </c>
      <c r="E706" s="169"/>
    </row>
    <row r="707" spans="2:5" ht="12.5">
      <c r="B707" s="40" t="str">
        <f ca="1">IFERROR(__xludf.DUMMYFUNCTION("""COMPUTED_VALUE"""),"")</f>
        <v/>
      </c>
      <c r="E707" s="169"/>
    </row>
    <row r="708" spans="2:5" ht="12.5">
      <c r="B708" s="40" t="str">
        <f ca="1">IFERROR(__xludf.DUMMYFUNCTION("""COMPUTED_VALUE"""),"")</f>
        <v/>
      </c>
      <c r="E708" s="169"/>
    </row>
    <row r="709" spans="2:5" ht="12.5">
      <c r="B709" s="40" t="str">
        <f ca="1">IFERROR(__xludf.DUMMYFUNCTION("""COMPUTED_VALUE"""),"")</f>
        <v/>
      </c>
      <c r="E709" s="169"/>
    </row>
    <row r="710" spans="2:5" ht="12.5">
      <c r="B710" s="40" t="str">
        <f ca="1">IFERROR(__xludf.DUMMYFUNCTION("""COMPUTED_VALUE"""),"")</f>
        <v/>
      </c>
      <c r="E710" s="169"/>
    </row>
    <row r="711" spans="2:5" ht="12.5">
      <c r="B711" s="40" t="str">
        <f ca="1">IFERROR(__xludf.DUMMYFUNCTION("""COMPUTED_VALUE"""),"")</f>
        <v/>
      </c>
      <c r="E711" s="169"/>
    </row>
    <row r="712" spans="2:5" ht="12.5">
      <c r="B712" s="40" t="str">
        <f ca="1">IFERROR(__xludf.DUMMYFUNCTION("""COMPUTED_VALUE"""),"")</f>
        <v/>
      </c>
      <c r="E712" s="169"/>
    </row>
    <row r="713" spans="2:5" ht="12.5">
      <c r="B713" s="40" t="str">
        <f ca="1">IFERROR(__xludf.DUMMYFUNCTION("""COMPUTED_VALUE"""),"")</f>
        <v/>
      </c>
      <c r="E713" s="169"/>
    </row>
    <row r="714" spans="2:5" ht="12.5">
      <c r="B714" s="40" t="str">
        <f ca="1">IFERROR(__xludf.DUMMYFUNCTION("""COMPUTED_VALUE"""),"")</f>
        <v/>
      </c>
      <c r="E714" s="169"/>
    </row>
    <row r="715" spans="2:5" ht="12.5">
      <c r="B715" s="40" t="str">
        <f ca="1">IFERROR(__xludf.DUMMYFUNCTION("""COMPUTED_VALUE"""),"")</f>
        <v/>
      </c>
      <c r="E715" s="169"/>
    </row>
    <row r="716" spans="2:5" ht="12.5">
      <c r="B716" s="40" t="str">
        <f ca="1">IFERROR(__xludf.DUMMYFUNCTION("""COMPUTED_VALUE"""),"")</f>
        <v/>
      </c>
      <c r="E716" s="169"/>
    </row>
    <row r="717" spans="2:5" ht="12.5">
      <c r="B717" s="40" t="str">
        <f ca="1">IFERROR(__xludf.DUMMYFUNCTION("""COMPUTED_VALUE"""),"")</f>
        <v/>
      </c>
      <c r="E717" s="169"/>
    </row>
    <row r="718" spans="2:5" ht="12.5">
      <c r="B718" s="40" t="str">
        <f ca="1">IFERROR(__xludf.DUMMYFUNCTION("""COMPUTED_VALUE"""),"")</f>
        <v/>
      </c>
      <c r="E718" s="169"/>
    </row>
    <row r="719" spans="2:5" ht="12.5">
      <c r="B719" s="40" t="str">
        <f ca="1">IFERROR(__xludf.DUMMYFUNCTION("""COMPUTED_VALUE"""),"")</f>
        <v/>
      </c>
      <c r="E719" s="169"/>
    </row>
    <row r="720" spans="2:5" ht="12.5">
      <c r="B720" s="40" t="str">
        <f ca="1">IFERROR(__xludf.DUMMYFUNCTION("""COMPUTED_VALUE"""),"")</f>
        <v/>
      </c>
      <c r="E720" s="169"/>
    </row>
    <row r="721" spans="2:5" ht="12.5">
      <c r="B721" s="40" t="str">
        <f ca="1">IFERROR(__xludf.DUMMYFUNCTION("""COMPUTED_VALUE"""),"")</f>
        <v/>
      </c>
      <c r="E721" s="169"/>
    </row>
    <row r="722" spans="2:5" ht="12.5">
      <c r="B722" s="40" t="str">
        <f ca="1">IFERROR(__xludf.DUMMYFUNCTION("""COMPUTED_VALUE"""),"")</f>
        <v/>
      </c>
      <c r="E722" s="169"/>
    </row>
    <row r="723" spans="2:5" ht="12.5">
      <c r="B723" s="40" t="str">
        <f ca="1">IFERROR(__xludf.DUMMYFUNCTION("""COMPUTED_VALUE"""),"")</f>
        <v/>
      </c>
      <c r="E723" s="169"/>
    </row>
    <row r="724" spans="2:5" ht="12.5">
      <c r="B724" s="40" t="str">
        <f ca="1">IFERROR(__xludf.DUMMYFUNCTION("""COMPUTED_VALUE"""),"")</f>
        <v/>
      </c>
      <c r="E724" s="169"/>
    </row>
    <row r="725" spans="2:5" ht="12.5">
      <c r="B725" s="40" t="str">
        <f ca="1">IFERROR(__xludf.DUMMYFUNCTION("""COMPUTED_VALUE"""),"")</f>
        <v/>
      </c>
      <c r="E725" s="169"/>
    </row>
    <row r="726" spans="2:5" ht="12.5">
      <c r="B726" s="40" t="str">
        <f ca="1">IFERROR(__xludf.DUMMYFUNCTION("""COMPUTED_VALUE"""),"")</f>
        <v/>
      </c>
      <c r="E726" s="169"/>
    </row>
    <row r="727" spans="2:5" ht="12.5">
      <c r="B727" s="40" t="str">
        <f ca="1">IFERROR(__xludf.DUMMYFUNCTION("""COMPUTED_VALUE"""),"")</f>
        <v/>
      </c>
      <c r="E727" s="169"/>
    </row>
    <row r="728" spans="2:5" ht="12.5">
      <c r="B728" s="40" t="str">
        <f ca="1">IFERROR(__xludf.DUMMYFUNCTION("""COMPUTED_VALUE"""),"")</f>
        <v/>
      </c>
      <c r="E728" s="169"/>
    </row>
    <row r="729" spans="2:5" ht="12.5">
      <c r="B729" s="40" t="str">
        <f ca="1">IFERROR(__xludf.DUMMYFUNCTION("""COMPUTED_VALUE"""),"")</f>
        <v/>
      </c>
      <c r="E729" s="169"/>
    </row>
    <row r="730" spans="2:5" ht="12.5">
      <c r="B730" s="40" t="str">
        <f ca="1">IFERROR(__xludf.DUMMYFUNCTION("""COMPUTED_VALUE"""),"")</f>
        <v/>
      </c>
      <c r="E730" s="169"/>
    </row>
    <row r="731" spans="2:5" ht="12.5">
      <c r="B731" s="40" t="str">
        <f ca="1">IFERROR(__xludf.DUMMYFUNCTION("""COMPUTED_VALUE"""),"")</f>
        <v/>
      </c>
      <c r="E731" s="169"/>
    </row>
    <row r="732" spans="2:5" ht="12.5">
      <c r="B732" s="40" t="str">
        <f ca="1">IFERROR(__xludf.DUMMYFUNCTION("""COMPUTED_VALUE"""),"")</f>
        <v/>
      </c>
      <c r="E732" s="169"/>
    </row>
    <row r="733" spans="2:5" ht="12.5">
      <c r="B733" s="40" t="str">
        <f ca="1">IFERROR(__xludf.DUMMYFUNCTION("""COMPUTED_VALUE"""),"")</f>
        <v/>
      </c>
      <c r="E733" s="169"/>
    </row>
    <row r="734" spans="2:5" ht="12.5">
      <c r="B734" s="40" t="str">
        <f ca="1">IFERROR(__xludf.DUMMYFUNCTION("""COMPUTED_VALUE"""),"")</f>
        <v/>
      </c>
      <c r="E734" s="169"/>
    </row>
    <row r="735" spans="2:5" ht="12.5">
      <c r="B735" s="40" t="str">
        <f ca="1">IFERROR(__xludf.DUMMYFUNCTION("""COMPUTED_VALUE"""),"")</f>
        <v/>
      </c>
      <c r="E735" s="169"/>
    </row>
    <row r="736" spans="2:5" ht="12.5">
      <c r="B736" s="40" t="str">
        <f ca="1">IFERROR(__xludf.DUMMYFUNCTION("""COMPUTED_VALUE"""),"")</f>
        <v/>
      </c>
      <c r="E736" s="169"/>
    </row>
    <row r="737" spans="2:5" ht="12.5">
      <c r="B737" s="40" t="str">
        <f ca="1">IFERROR(__xludf.DUMMYFUNCTION("""COMPUTED_VALUE"""),"")</f>
        <v/>
      </c>
      <c r="E737" s="169"/>
    </row>
    <row r="738" spans="2:5" ht="12.5">
      <c r="B738" s="40" t="str">
        <f ca="1">IFERROR(__xludf.DUMMYFUNCTION("""COMPUTED_VALUE"""),"")</f>
        <v/>
      </c>
      <c r="E738" s="169"/>
    </row>
    <row r="739" spans="2:5" ht="12.5">
      <c r="B739" s="40" t="str">
        <f ca="1">IFERROR(__xludf.DUMMYFUNCTION("""COMPUTED_VALUE"""),"")</f>
        <v/>
      </c>
      <c r="E739" s="169"/>
    </row>
    <row r="740" spans="2:5" ht="12.5">
      <c r="B740" s="40" t="str">
        <f ca="1">IFERROR(__xludf.DUMMYFUNCTION("""COMPUTED_VALUE"""),"")</f>
        <v/>
      </c>
      <c r="E740" s="169"/>
    </row>
    <row r="741" spans="2:5" ht="12.5">
      <c r="B741" s="40" t="str">
        <f ca="1">IFERROR(__xludf.DUMMYFUNCTION("""COMPUTED_VALUE"""),"")</f>
        <v/>
      </c>
      <c r="E741" s="169"/>
    </row>
    <row r="742" spans="2:5" ht="12.5">
      <c r="B742" s="40" t="str">
        <f ca="1">IFERROR(__xludf.DUMMYFUNCTION("""COMPUTED_VALUE"""),"")</f>
        <v/>
      </c>
      <c r="E742" s="169"/>
    </row>
    <row r="743" spans="2:5" ht="12.5">
      <c r="B743" s="40" t="str">
        <f ca="1">IFERROR(__xludf.DUMMYFUNCTION("""COMPUTED_VALUE"""),"")</f>
        <v/>
      </c>
      <c r="E743" s="169"/>
    </row>
    <row r="744" spans="2:5" ht="12.5">
      <c r="B744" s="40" t="str">
        <f ca="1">IFERROR(__xludf.DUMMYFUNCTION("""COMPUTED_VALUE"""),"")</f>
        <v/>
      </c>
      <c r="E744" s="169"/>
    </row>
    <row r="745" spans="2:5" ht="12.5">
      <c r="B745" s="40" t="str">
        <f ca="1">IFERROR(__xludf.DUMMYFUNCTION("""COMPUTED_VALUE"""),"")</f>
        <v/>
      </c>
      <c r="E745" s="169"/>
    </row>
    <row r="746" spans="2:5" ht="12.5">
      <c r="B746" s="40" t="str">
        <f ca="1">IFERROR(__xludf.DUMMYFUNCTION("""COMPUTED_VALUE"""),"")</f>
        <v/>
      </c>
      <c r="E746" s="169"/>
    </row>
    <row r="747" spans="2:5" ht="12.5">
      <c r="B747" s="40" t="str">
        <f ca="1">IFERROR(__xludf.DUMMYFUNCTION("""COMPUTED_VALUE"""),"")</f>
        <v/>
      </c>
      <c r="E747" s="169"/>
    </row>
    <row r="748" spans="2:5" ht="12.5">
      <c r="B748" s="40" t="str">
        <f ca="1">IFERROR(__xludf.DUMMYFUNCTION("""COMPUTED_VALUE"""),"")</f>
        <v/>
      </c>
      <c r="E748" s="169"/>
    </row>
    <row r="749" spans="2:5" ht="12.5">
      <c r="B749" s="40" t="str">
        <f ca="1">IFERROR(__xludf.DUMMYFUNCTION("""COMPUTED_VALUE"""),"")</f>
        <v/>
      </c>
      <c r="E749" s="169"/>
    </row>
    <row r="750" spans="2:5" ht="12.5">
      <c r="B750" s="40" t="str">
        <f ca="1">IFERROR(__xludf.DUMMYFUNCTION("""COMPUTED_VALUE"""),"")</f>
        <v/>
      </c>
      <c r="E750" s="169"/>
    </row>
    <row r="751" spans="2:5" ht="12.5">
      <c r="B751" s="40" t="str">
        <f ca="1">IFERROR(__xludf.DUMMYFUNCTION("""COMPUTED_VALUE"""),"")</f>
        <v/>
      </c>
      <c r="E751" s="169"/>
    </row>
    <row r="752" spans="2:5" ht="12.5">
      <c r="B752" s="40" t="str">
        <f ca="1">IFERROR(__xludf.DUMMYFUNCTION("""COMPUTED_VALUE"""),"")</f>
        <v/>
      </c>
      <c r="E752" s="169"/>
    </row>
    <row r="753" spans="2:5" ht="12.5">
      <c r="B753" s="40" t="str">
        <f ca="1">IFERROR(__xludf.DUMMYFUNCTION("""COMPUTED_VALUE"""),"")</f>
        <v/>
      </c>
      <c r="E753" s="169"/>
    </row>
    <row r="754" spans="2:5" ht="12.5">
      <c r="B754" s="40" t="str">
        <f ca="1">IFERROR(__xludf.DUMMYFUNCTION("""COMPUTED_VALUE"""),"")</f>
        <v/>
      </c>
      <c r="E754" s="169"/>
    </row>
    <row r="755" spans="2:5" ht="12.5">
      <c r="B755" s="40" t="str">
        <f ca="1">IFERROR(__xludf.DUMMYFUNCTION("""COMPUTED_VALUE"""),"")</f>
        <v/>
      </c>
      <c r="E755" s="169"/>
    </row>
    <row r="756" spans="2:5" ht="12.5">
      <c r="B756" s="40" t="str">
        <f ca="1">IFERROR(__xludf.DUMMYFUNCTION("""COMPUTED_VALUE"""),"")</f>
        <v/>
      </c>
      <c r="E756" s="169"/>
    </row>
    <row r="757" spans="2:5" ht="12.5">
      <c r="B757" s="40" t="str">
        <f ca="1">IFERROR(__xludf.DUMMYFUNCTION("""COMPUTED_VALUE"""),"")</f>
        <v/>
      </c>
      <c r="E757" s="169"/>
    </row>
    <row r="758" spans="2:5" ht="12.5">
      <c r="B758" s="40" t="str">
        <f ca="1">IFERROR(__xludf.DUMMYFUNCTION("""COMPUTED_VALUE"""),"")</f>
        <v/>
      </c>
      <c r="E758" s="169"/>
    </row>
    <row r="759" spans="2:5" ht="12.5">
      <c r="B759" s="40" t="str">
        <f ca="1">IFERROR(__xludf.DUMMYFUNCTION("""COMPUTED_VALUE"""),"")</f>
        <v/>
      </c>
      <c r="E759" s="169"/>
    </row>
    <row r="760" spans="2:5" ht="12.5">
      <c r="B760" s="40" t="str">
        <f ca="1">IFERROR(__xludf.DUMMYFUNCTION("""COMPUTED_VALUE"""),"")</f>
        <v/>
      </c>
      <c r="E760" s="169"/>
    </row>
    <row r="761" spans="2:5" ht="12.5">
      <c r="B761" s="40" t="str">
        <f ca="1">IFERROR(__xludf.DUMMYFUNCTION("""COMPUTED_VALUE"""),"")</f>
        <v/>
      </c>
      <c r="E761" s="169"/>
    </row>
    <row r="762" spans="2:5" ht="12.5">
      <c r="B762" s="40" t="str">
        <f ca="1">IFERROR(__xludf.DUMMYFUNCTION("""COMPUTED_VALUE"""),"")</f>
        <v/>
      </c>
      <c r="E762" s="169"/>
    </row>
    <row r="763" spans="2:5" ht="12.5">
      <c r="B763" s="40" t="str">
        <f ca="1">IFERROR(__xludf.DUMMYFUNCTION("""COMPUTED_VALUE"""),"")</f>
        <v/>
      </c>
      <c r="E763" s="169"/>
    </row>
    <row r="764" spans="2:5" ht="12.5">
      <c r="B764" s="40" t="str">
        <f ca="1">IFERROR(__xludf.DUMMYFUNCTION("""COMPUTED_VALUE"""),"")</f>
        <v/>
      </c>
      <c r="E764" s="169"/>
    </row>
    <row r="765" spans="2:5" ht="12.5">
      <c r="B765" s="40" t="str">
        <f ca="1">IFERROR(__xludf.DUMMYFUNCTION("""COMPUTED_VALUE"""),"")</f>
        <v/>
      </c>
      <c r="E765" s="169"/>
    </row>
    <row r="766" spans="2:5" ht="12.5">
      <c r="B766" s="40" t="str">
        <f ca="1">IFERROR(__xludf.DUMMYFUNCTION("""COMPUTED_VALUE"""),"")</f>
        <v/>
      </c>
      <c r="E766" s="169"/>
    </row>
    <row r="767" spans="2:5" ht="12.5">
      <c r="B767" s="40" t="str">
        <f ca="1">IFERROR(__xludf.DUMMYFUNCTION("""COMPUTED_VALUE"""),"")</f>
        <v/>
      </c>
      <c r="E767" s="169"/>
    </row>
    <row r="768" spans="2:5" ht="12.5">
      <c r="B768" s="40" t="str">
        <f ca="1">IFERROR(__xludf.DUMMYFUNCTION("""COMPUTED_VALUE"""),"")</f>
        <v/>
      </c>
      <c r="E768" s="169"/>
    </row>
    <row r="769" spans="2:5" ht="12.5">
      <c r="B769" s="40" t="str">
        <f ca="1">IFERROR(__xludf.DUMMYFUNCTION("""COMPUTED_VALUE"""),"")</f>
        <v/>
      </c>
      <c r="E769" s="169"/>
    </row>
    <row r="770" spans="2:5" ht="12.5">
      <c r="B770" s="40" t="str">
        <f ca="1">IFERROR(__xludf.DUMMYFUNCTION("""COMPUTED_VALUE"""),"")</f>
        <v/>
      </c>
      <c r="E770" s="169"/>
    </row>
    <row r="771" spans="2:5" ht="12.5">
      <c r="B771" s="40" t="str">
        <f ca="1">IFERROR(__xludf.DUMMYFUNCTION("""COMPUTED_VALUE"""),"")</f>
        <v/>
      </c>
      <c r="E771" s="169"/>
    </row>
    <row r="772" spans="2:5" ht="12.5">
      <c r="B772" s="40" t="str">
        <f ca="1">IFERROR(__xludf.DUMMYFUNCTION("""COMPUTED_VALUE"""),"")</f>
        <v/>
      </c>
      <c r="E772" s="169"/>
    </row>
    <row r="773" spans="2:5" ht="12.5">
      <c r="B773" s="40" t="str">
        <f ca="1">IFERROR(__xludf.DUMMYFUNCTION("""COMPUTED_VALUE"""),"")</f>
        <v/>
      </c>
      <c r="E773" s="169"/>
    </row>
    <row r="774" spans="2:5" ht="12.5">
      <c r="B774" s="40" t="str">
        <f ca="1">IFERROR(__xludf.DUMMYFUNCTION("""COMPUTED_VALUE"""),"")</f>
        <v/>
      </c>
      <c r="E774" s="169"/>
    </row>
    <row r="775" spans="2:5" ht="12.5">
      <c r="B775" s="40" t="str">
        <f ca="1">IFERROR(__xludf.DUMMYFUNCTION("""COMPUTED_VALUE"""),"")</f>
        <v/>
      </c>
      <c r="E775" s="169"/>
    </row>
    <row r="776" spans="2:5" ht="12.5">
      <c r="B776" s="40" t="str">
        <f ca="1">IFERROR(__xludf.DUMMYFUNCTION("""COMPUTED_VALUE"""),"")</f>
        <v/>
      </c>
      <c r="E776" s="169"/>
    </row>
    <row r="777" spans="2:5" ht="12.5">
      <c r="B777" s="40" t="str">
        <f ca="1">IFERROR(__xludf.DUMMYFUNCTION("""COMPUTED_VALUE"""),"")</f>
        <v/>
      </c>
      <c r="E777" s="169"/>
    </row>
    <row r="778" spans="2:5" ht="12.5">
      <c r="B778" s="40" t="str">
        <f ca="1">IFERROR(__xludf.DUMMYFUNCTION("""COMPUTED_VALUE"""),"")</f>
        <v/>
      </c>
      <c r="E778" s="169"/>
    </row>
    <row r="779" spans="2:5" ht="12.5">
      <c r="B779" s="40" t="str">
        <f ca="1">IFERROR(__xludf.DUMMYFUNCTION("""COMPUTED_VALUE"""),"")</f>
        <v/>
      </c>
      <c r="E779" s="169"/>
    </row>
    <row r="780" spans="2:5" ht="12.5">
      <c r="B780" s="40" t="str">
        <f ca="1">IFERROR(__xludf.DUMMYFUNCTION("""COMPUTED_VALUE"""),"")</f>
        <v/>
      </c>
      <c r="E780" s="169"/>
    </row>
    <row r="781" spans="2:5" ht="12.5">
      <c r="B781" s="40" t="str">
        <f ca="1">IFERROR(__xludf.DUMMYFUNCTION("""COMPUTED_VALUE"""),"")</f>
        <v/>
      </c>
      <c r="E781" s="169"/>
    </row>
    <row r="782" spans="2:5" ht="12.5">
      <c r="B782" s="40" t="str">
        <f ca="1">IFERROR(__xludf.DUMMYFUNCTION("""COMPUTED_VALUE"""),"")</f>
        <v/>
      </c>
      <c r="E782" s="169"/>
    </row>
    <row r="783" spans="2:5" ht="12.5">
      <c r="B783" s="40" t="str">
        <f ca="1">IFERROR(__xludf.DUMMYFUNCTION("""COMPUTED_VALUE"""),"")</f>
        <v/>
      </c>
      <c r="E783" s="169"/>
    </row>
    <row r="784" spans="2:5" ht="12.5">
      <c r="B784" s="40" t="str">
        <f ca="1">IFERROR(__xludf.DUMMYFUNCTION("""COMPUTED_VALUE"""),"")</f>
        <v/>
      </c>
      <c r="E784" s="169"/>
    </row>
    <row r="785" spans="2:5" ht="12.5">
      <c r="B785" s="40" t="str">
        <f ca="1">IFERROR(__xludf.DUMMYFUNCTION("""COMPUTED_VALUE"""),"")</f>
        <v/>
      </c>
      <c r="E785" s="169"/>
    </row>
    <row r="786" spans="2:5" ht="12.5">
      <c r="B786" s="40" t="str">
        <f ca="1">IFERROR(__xludf.DUMMYFUNCTION("""COMPUTED_VALUE"""),"")</f>
        <v/>
      </c>
      <c r="E786" s="169"/>
    </row>
    <row r="787" spans="2:5" ht="12.5">
      <c r="B787" s="40" t="str">
        <f ca="1">IFERROR(__xludf.DUMMYFUNCTION("""COMPUTED_VALUE"""),"")</f>
        <v/>
      </c>
      <c r="E787" s="169"/>
    </row>
    <row r="788" spans="2:5" ht="12.5">
      <c r="B788" s="40" t="str">
        <f ca="1">IFERROR(__xludf.DUMMYFUNCTION("""COMPUTED_VALUE"""),"")</f>
        <v/>
      </c>
      <c r="E788" s="169"/>
    </row>
    <row r="789" spans="2:5" ht="12.5">
      <c r="B789" s="40" t="str">
        <f ca="1">IFERROR(__xludf.DUMMYFUNCTION("""COMPUTED_VALUE"""),"")</f>
        <v/>
      </c>
      <c r="E789" s="169"/>
    </row>
    <row r="790" spans="2:5" ht="12.5">
      <c r="B790" s="40" t="str">
        <f ca="1">IFERROR(__xludf.DUMMYFUNCTION("""COMPUTED_VALUE"""),"")</f>
        <v/>
      </c>
      <c r="E790" s="169"/>
    </row>
    <row r="791" spans="2:5" ht="12.5">
      <c r="B791" s="40" t="str">
        <f ca="1">IFERROR(__xludf.DUMMYFUNCTION("""COMPUTED_VALUE"""),"")</f>
        <v/>
      </c>
      <c r="E791" s="169"/>
    </row>
    <row r="792" spans="2:5" ht="12.5">
      <c r="B792" s="40" t="str">
        <f ca="1">IFERROR(__xludf.DUMMYFUNCTION("""COMPUTED_VALUE"""),"")</f>
        <v/>
      </c>
      <c r="E792" s="169"/>
    </row>
    <row r="793" spans="2:5" ht="12.5">
      <c r="B793" s="40" t="str">
        <f ca="1">IFERROR(__xludf.DUMMYFUNCTION("""COMPUTED_VALUE"""),"")</f>
        <v/>
      </c>
      <c r="E793" s="169"/>
    </row>
    <row r="794" spans="2:5" ht="12.5">
      <c r="B794" s="40" t="str">
        <f ca="1">IFERROR(__xludf.DUMMYFUNCTION("""COMPUTED_VALUE"""),"")</f>
        <v/>
      </c>
      <c r="E794" s="169"/>
    </row>
    <row r="795" spans="2:5" ht="12.5">
      <c r="B795" s="40" t="str">
        <f ca="1">IFERROR(__xludf.DUMMYFUNCTION("""COMPUTED_VALUE"""),"")</f>
        <v/>
      </c>
      <c r="E795" s="169"/>
    </row>
    <row r="796" spans="2:5" ht="12.5">
      <c r="B796" s="40" t="str">
        <f ca="1">IFERROR(__xludf.DUMMYFUNCTION("""COMPUTED_VALUE"""),"")</f>
        <v/>
      </c>
      <c r="E796" s="169"/>
    </row>
    <row r="797" spans="2:5" ht="12.5">
      <c r="B797" s="40" t="str">
        <f ca="1">IFERROR(__xludf.DUMMYFUNCTION("""COMPUTED_VALUE"""),"")</f>
        <v/>
      </c>
      <c r="E797" s="169"/>
    </row>
    <row r="798" spans="2:5" ht="12.5">
      <c r="B798" s="40" t="str">
        <f ca="1">IFERROR(__xludf.DUMMYFUNCTION("""COMPUTED_VALUE"""),"")</f>
        <v/>
      </c>
      <c r="E798" s="169"/>
    </row>
    <row r="799" spans="2:5" ht="12.5">
      <c r="B799" s="40" t="str">
        <f ca="1">IFERROR(__xludf.DUMMYFUNCTION("""COMPUTED_VALUE"""),"")</f>
        <v/>
      </c>
      <c r="E799" s="169"/>
    </row>
    <row r="800" spans="2:5" ht="12.5">
      <c r="B800" s="40" t="str">
        <f ca="1">IFERROR(__xludf.DUMMYFUNCTION("""COMPUTED_VALUE"""),"")</f>
        <v/>
      </c>
      <c r="E800" s="169"/>
    </row>
    <row r="801" spans="2:5" ht="12.5">
      <c r="B801" s="40" t="str">
        <f ca="1">IFERROR(__xludf.DUMMYFUNCTION("""COMPUTED_VALUE"""),"")</f>
        <v/>
      </c>
      <c r="E801" s="169"/>
    </row>
    <row r="802" spans="2:5" ht="12.5">
      <c r="B802" s="40" t="str">
        <f ca="1">IFERROR(__xludf.DUMMYFUNCTION("""COMPUTED_VALUE"""),"")</f>
        <v/>
      </c>
      <c r="E802" s="169"/>
    </row>
    <row r="803" spans="2:5" ht="12.5">
      <c r="B803" s="40" t="str">
        <f ca="1">IFERROR(__xludf.DUMMYFUNCTION("""COMPUTED_VALUE"""),"")</f>
        <v/>
      </c>
      <c r="E803" s="169"/>
    </row>
    <row r="804" spans="2:5" ht="12.5">
      <c r="B804" s="40" t="str">
        <f ca="1">IFERROR(__xludf.DUMMYFUNCTION("""COMPUTED_VALUE"""),"")</f>
        <v/>
      </c>
      <c r="E804" s="169"/>
    </row>
    <row r="805" spans="2:5" ht="12.5">
      <c r="B805" s="40" t="str">
        <f ca="1">IFERROR(__xludf.DUMMYFUNCTION("""COMPUTED_VALUE"""),"")</f>
        <v/>
      </c>
      <c r="E805" s="169"/>
    </row>
    <row r="806" spans="2:5" ht="12.5">
      <c r="B806" s="40" t="str">
        <f ca="1">IFERROR(__xludf.DUMMYFUNCTION("""COMPUTED_VALUE"""),"")</f>
        <v/>
      </c>
      <c r="E806" s="169"/>
    </row>
    <row r="807" spans="2:5" ht="12.5">
      <c r="B807" s="40" t="str">
        <f ca="1">IFERROR(__xludf.DUMMYFUNCTION("""COMPUTED_VALUE"""),"")</f>
        <v/>
      </c>
      <c r="E807" s="169"/>
    </row>
    <row r="808" spans="2:5" ht="12.5">
      <c r="B808" s="40" t="str">
        <f ca="1">IFERROR(__xludf.DUMMYFUNCTION("""COMPUTED_VALUE"""),"")</f>
        <v/>
      </c>
      <c r="E808" s="169"/>
    </row>
    <row r="809" spans="2:5" ht="12.5">
      <c r="B809" s="40" t="str">
        <f ca="1">IFERROR(__xludf.DUMMYFUNCTION("""COMPUTED_VALUE"""),"")</f>
        <v/>
      </c>
      <c r="E809" s="169"/>
    </row>
    <row r="810" spans="2:5" ht="12.5">
      <c r="B810" s="40" t="str">
        <f ca="1">IFERROR(__xludf.DUMMYFUNCTION("""COMPUTED_VALUE"""),"")</f>
        <v/>
      </c>
      <c r="E810" s="169"/>
    </row>
    <row r="811" spans="2:5" ht="12.5">
      <c r="B811" s="40" t="str">
        <f ca="1">IFERROR(__xludf.DUMMYFUNCTION("""COMPUTED_VALUE"""),"")</f>
        <v/>
      </c>
      <c r="E811" s="169"/>
    </row>
    <row r="812" spans="2:5" ht="12.5">
      <c r="B812" s="40" t="str">
        <f ca="1">IFERROR(__xludf.DUMMYFUNCTION("""COMPUTED_VALUE"""),"")</f>
        <v/>
      </c>
      <c r="E812" s="169"/>
    </row>
    <row r="813" spans="2:5" ht="12.5">
      <c r="B813" s="40" t="str">
        <f ca="1">IFERROR(__xludf.DUMMYFUNCTION("""COMPUTED_VALUE"""),"")</f>
        <v/>
      </c>
      <c r="E813" s="169"/>
    </row>
    <row r="814" spans="2:5" ht="12.5">
      <c r="B814" s="40" t="str">
        <f ca="1">IFERROR(__xludf.DUMMYFUNCTION("""COMPUTED_VALUE"""),"")</f>
        <v/>
      </c>
      <c r="E814" s="169"/>
    </row>
    <row r="815" spans="2:5" ht="12.5">
      <c r="B815" s="40" t="str">
        <f ca="1">IFERROR(__xludf.DUMMYFUNCTION("""COMPUTED_VALUE"""),"")</f>
        <v/>
      </c>
      <c r="E815" s="169"/>
    </row>
    <row r="816" spans="2:5" ht="12.5">
      <c r="B816" s="40" t="str">
        <f ca="1">IFERROR(__xludf.DUMMYFUNCTION("""COMPUTED_VALUE"""),"")</f>
        <v/>
      </c>
      <c r="E816" s="169"/>
    </row>
    <row r="817" spans="2:5" ht="12.5">
      <c r="B817" s="40" t="str">
        <f ca="1">IFERROR(__xludf.DUMMYFUNCTION("""COMPUTED_VALUE"""),"")</f>
        <v/>
      </c>
      <c r="E817" s="169"/>
    </row>
    <row r="818" spans="2:5" ht="12.5">
      <c r="B818" s="40" t="str">
        <f ca="1">IFERROR(__xludf.DUMMYFUNCTION("""COMPUTED_VALUE"""),"")</f>
        <v/>
      </c>
      <c r="E818" s="169"/>
    </row>
    <row r="819" spans="2:5" ht="12.5">
      <c r="B819" s="40" t="str">
        <f ca="1">IFERROR(__xludf.DUMMYFUNCTION("""COMPUTED_VALUE"""),"")</f>
        <v/>
      </c>
      <c r="E819" s="169"/>
    </row>
    <row r="820" spans="2:5" ht="12.5">
      <c r="B820" s="40" t="str">
        <f ca="1">IFERROR(__xludf.DUMMYFUNCTION("""COMPUTED_VALUE"""),"")</f>
        <v/>
      </c>
      <c r="E820" s="169"/>
    </row>
    <row r="821" spans="2:5" ht="12.5">
      <c r="B821" s="40" t="str">
        <f ca="1">IFERROR(__xludf.DUMMYFUNCTION("""COMPUTED_VALUE"""),"")</f>
        <v/>
      </c>
      <c r="E821" s="169"/>
    </row>
    <row r="822" spans="2:5" ht="12.5">
      <c r="B822" s="40" t="str">
        <f ca="1">IFERROR(__xludf.DUMMYFUNCTION("""COMPUTED_VALUE"""),"")</f>
        <v/>
      </c>
      <c r="E822" s="169"/>
    </row>
    <row r="823" spans="2:5" ht="12.5">
      <c r="B823" s="40" t="str">
        <f ca="1">IFERROR(__xludf.DUMMYFUNCTION("""COMPUTED_VALUE"""),"")</f>
        <v/>
      </c>
      <c r="E823" s="169"/>
    </row>
    <row r="824" spans="2:5" ht="12.5">
      <c r="B824" s="40" t="str">
        <f ca="1">IFERROR(__xludf.DUMMYFUNCTION("""COMPUTED_VALUE"""),"")</f>
        <v/>
      </c>
      <c r="E824" s="169"/>
    </row>
    <row r="825" spans="2:5" ht="12.5">
      <c r="B825" s="40" t="str">
        <f ca="1">IFERROR(__xludf.DUMMYFUNCTION("""COMPUTED_VALUE"""),"")</f>
        <v/>
      </c>
      <c r="E825" s="169"/>
    </row>
    <row r="826" spans="2:5" ht="12.5">
      <c r="B826" s="40" t="str">
        <f ca="1">IFERROR(__xludf.DUMMYFUNCTION("""COMPUTED_VALUE"""),"")</f>
        <v/>
      </c>
      <c r="E826" s="169"/>
    </row>
    <row r="827" spans="2:5" ht="12.5">
      <c r="B827" s="40" t="str">
        <f ca="1">IFERROR(__xludf.DUMMYFUNCTION("""COMPUTED_VALUE"""),"")</f>
        <v/>
      </c>
      <c r="E827" s="169"/>
    </row>
    <row r="828" spans="2:5" ht="12.5">
      <c r="B828" s="40" t="str">
        <f ca="1">IFERROR(__xludf.DUMMYFUNCTION("""COMPUTED_VALUE"""),"")</f>
        <v/>
      </c>
      <c r="E828" s="169"/>
    </row>
    <row r="829" spans="2:5" ht="12.5">
      <c r="B829" s="40" t="str">
        <f ca="1">IFERROR(__xludf.DUMMYFUNCTION("""COMPUTED_VALUE"""),"")</f>
        <v/>
      </c>
      <c r="E829" s="169"/>
    </row>
    <row r="830" spans="2:5" ht="12.5">
      <c r="B830" s="40" t="str">
        <f ca="1">IFERROR(__xludf.DUMMYFUNCTION("""COMPUTED_VALUE"""),"")</f>
        <v/>
      </c>
      <c r="E830" s="169"/>
    </row>
    <row r="831" spans="2:5" ht="12.5">
      <c r="B831" s="40" t="str">
        <f ca="1">IFERROR(__xludf.DUMMYFUNCTION("""COMPUTED_VALUE"""),"")</f>
        <v/>
      </c>
      <c r="E831" s="169"/>
    </row>
    <row r="832" spans="2:5" ht="12.5">
      <c r="B832" s="40" t="str">
        <f ca="1">IFERROR(__xludf.DUMMYFUNCTION("""COMPUTED_VALUE"""),"")</f>
        <v/>
      </c>
      <c r="E832" s="169"/>
    </row>
    <row r="833" spans="2:5" ht="12.5">
      <c r="B833" s="40" t="str">
        <f ca="1">IFERROR(__xludf.DUMMYFUNCTION("""COMPUTED_VALUE"""),"")</f>
        <v/>
      </c>
      <c r="E833" s="169"/>
    </row>
    <row r="834" spans="2:5" ht="12.5">
      <c r="B834" s="40" t="str">
        <f ca="1">IFERROR(__xludf.DUMMYFUNCTION("""COMPUTED_VALUE"""),"")</f>
        <v/>
      </c>
      <c r="E834" s="169"/>
    </row>
    <row r="835" spans="2:5" ht="12.5">
      <c r="B835" s="40" t="str">
        <f ca="1">IFERROR(__xludf.DUMMYFUNCTION("""COMPUTED_VALUE"""),"")</f>
        <v/>
      </c>
      <c r="E835" s="169"/>
    </row>
    <row r="836" spans="2:5" ht="12.5">
      <c r="B836" s="40" t="str">
        <f ca="1">IFERROR(__xludf.DUMMYFUNCTION("""COMPUTED_VALUE"""),"")</f>
        <v/>
      </c>
      <c r="E836" s="169"/>
    </row>
    <row r="837" spans="2:5" ht="12.5">
      <c r="B837" s="40" t="str">
        <f ca="1">IFERROR(__xludf.DUMMYFUNCTION("""COMPUTED_VALUE"""),"")</f>
        <v/>
      </c>
      <c r="E837" s="169"/>
    </row>
    <row r="838" spans="2:5" ht="12.5">
      <c r="B838" s="40" t="str">
        <f ca="1">IFERROR(__xludf.DUMMYFUNCTION("""COMPUTED_VALUE"""),"")</f>
        <v/>
      </c>
      <c r="E838" s="169"/>
    </row>
    <row r="839" spans="2:5" ht="12.5">
      <c r="B839" s="40" t="str">
        <f ca="1">IFERROR(__xludf.DUMMYFUNCTION("""COMPUTED_VALUE"""),"")</f>
        <v/>
      </c>
      <c r="E839" s="169"/>
    </row>
    <row r="840" spans="2:5" ht="12.5">
      <c r="B840" s="40" t="str">
        <f ca="1">IFERROR(__xludf.DUMMYFUNCTION("""COMPUTED_VALUE"""),"")</f>
        <v/>
      </c>
      <c r="E840" s="169"/>
    </row>
    <row r="841" spans="2:5" ht="12.5">
      <c r="B841" s="40" t="str">
        <f ca="1">IFERROR(__xludf.DUMMYFUNCTION("""COMPUTED_VALUE"""),"")</f>
        <v/>
      </c>
      <c r="E841" s="169"/>
    </row>
    <row r="842" spans="2:5" ht="12.5">
      <c r="B842" s="40" t="str">
        <f ca="1">IFERROR(__xludf.DUMMYFUNCTION("""COMPUTED_VALUE"""),"")</f>
        <v/>
      </c>
      <c r="E842" s="169"/>
    </row>
    <row r="843" spans="2:5" ht="12.5">
      <c r="B843" s="40" t="str">
        <f ca="1">IFERROR(__xludf.DUMMYFUNCTION("""COMPUTED_VALUE"""),"")</f>
        <v/>
      </c>
      <c r="E843" s="169"/>
    </row>
    <row r="844" spans="2:5" ht="12.5">
      <c r="B844" s="40" t="str">
        <f ca="1">IFERROR(__xludf.DUMMYFUNCTION("""COMPUTED_VALUE"""),"")</f>
        <v/>
      </c>
      <c r="E844" s="169"/>
    </row>
    <row r="845" spans="2:5" ht="12.5">
      <c r="B845" s="40" t="str">
        <f ca="1">IFERROR(__xludf.DUMMYFUNCTION("""COMPUTED_VALUE"""),"")</f>
        <v/>
      </c>
      <c r="E845" s="169"/>
    </row>
    <row r="846" spans="2:5" ht="12.5">
      <c r="B846" s="40" t="str">
        <f ca="1">IFERROR(__xludf.DUMMYFUNCTION("""COMPUTED_VALUE"""),"")</f>
        <v/>
      </c>
      <c r="E846" s="169"/>
    </row>
    <row r="847" spans="2:5" ht="12.5">
      <c r="B847" s="40" t="str">
        <f ca="1">IFERROR(__xludf.DUMMYFUNCTION("""COMPUTED_VALUE"""),"")</f>
        <v/>
      </c>
      <c r="E847" s="169"/>
    </row>
    <row r="848" spans="2:5" ht="12.5">
      <c r="B848" s="40" t="str">
        <f ca="1">IFERROR(__xludf.DUMMYFUNCTION("""COMPUTED_VALUE"""),"")</f>
        <v/>
      </c>
      <c r="E848" s="169"/>
    </row>
    <row r="849" spans="2:5" ht="12.5">
      <c r="B849" s="40" t="str">
        <f ca="1">IFERROR(__xludf.DUMMYFUNCTION("""COMPUTED_VALUE"""),"")</f>
        <v/>
      </c>
      <c r="E849" s="169"/>
    </row>
    <row r="850" spans="2:5" ht="12.5">
      <c r="B850" s="40" t="str">
        <f ca="1">IFERROR(__xludf.DUMMYFUNCTION("""COMPUTED_VALUE"""),"")</f>
        <v/>
      </c>
      <c r="E850" s="169"/>
    </row>
    <row r="851" spans="2:5" ht="12.5">
      <c r="B851" s="40" t="str">
        <f ca="1">IFERROR(__xludf.DUMMYFUNCTION("""COMPUTED_VALUE"""),"")</f>
        <v/>
      </c>
      <c r="E851" s="169"/>
    </row>
    <row r="852" spans="2:5" ht="12.5">
      <c r="B852" s="40" t="str">
        <f ca="1">IFERROR(__xludf.DUMMYFUNCTION("""COMPUTED_VALUE"""),"")</f>
        <v/>
      </c>
      <c r="E852" s="169"/>
    </row>
    <row r="853" spans="2:5" ht="12.5">
      <c r="B853" s="40" t="str">
        <f ca="1">IFERROR(__xludf.DUMMYFUNCTION("""COMPUTED_VALUE"""),"")</f>
        <v/>
      </c>
      <c r="E853" s="169"/>
    </row>
    <row r="854" spans="2:5" ht="12.5">
      <c r="B854" s="40" t="str">
        <f ca="1">IFERROR(__xludf.DUMMYFUNCTION("""COMPUTED_VALUE"""),"")</f>
        <v/>
      </c>
      <c r="E854" s="169"/>
    </row>
    <row r="855" spans="2:5" ht="12.5">
      <c r="B855" s="40" t="str">
        <f ca="1">IFERROR(__xludf.DUMMYFUNCTION("""COMPUTED_VALUE"""),"")</f>
        <v/>
      </c>
      <c r="E855" s="169"/>
    </row>
    <row r="856" spans="2:5" ht="12.5">
      <c r="B856" s="40" t="str">
        <f ca="1">IFERROR(__xludf.DUMMYFUNCTION("""COMPUTED_VALUE"""),"")</f>
        <v/>
      </c>
      <c r="E856" s="169"/>
    </row>
    <row r="857" spans="2:5" ht="12.5">
      <c r="B857" s="40" t="str">
        <f ca="1">IFERROR(__xludf.DUMMYFUNCTION("""COMPUTED_VALUE"""),"")</f>
        <v/>
      </c>
      <c r="E857" s="169"/>
    </row>
    <row r="858" spans="2:5" ht="12.5">
      <c r="B858" s="40" t="str">
        <f ca="1">IFERROR(__xludf.DUMMYFUNCTION("""COMPUTED_VALUE"""),"")</f>
        <v/>
      </c>
      <c r="E858" s="169"/>
    </row>
    <row r="859" spans="2:5" ht="12.5">
      <c r="B859" s="40" t="str">
        <f ca="1">IFERROR(__xludf.DUMMYFUNCTION("""COMPUTED_VALUE"""),"")</f>
        <v/>
      </c>
      <c r="E859" s="169"/>
    </row>
    <row r="860" spans="2:5" ht="12.5">
      <c r="B860" s="40" t="str">
        <f ca="1">IFERROR(__xludf.DUMMYFUNCTION("""COMPUTED_VALUE"""),"")</f>
        <v/>
      </c>
      <c r="E860" s="169"/>
    </row>
    <row r="861" spans="2:5" ht="12.5">
      <c r="B861" s="40" t="str">
        <f ca="1">IFERROR(__xludf.DUMMYFUNCTION("""COMPUTED_VALUE"""),"")</f>
        <v/>
      </c>
      <c r="E861" s="169"/>
    </row>
    <row r="862" spans="2:5" ht="12.5">
      <c r="B862" s="40" t="str">
        <f ca="1">IFERROR(__xludf.DUMMYFUNCTION("""COMPUTED_VALUE"""),"")</f>
        <v/>
      </c>
      <c r="E862" s="169"/>
    </row>
    <row r="863" spans="2:5" ht="12.5">
      <c r="B863" s="40" t="str">
        <f ca="1">IFERROR(__xludf.DUMMYFUNCTION("""COMPUTED_VALUE"""),"")</f>
        <v/>
      </c>
      <c r="E863" s="169"/>
    </row>
    <row r="864" spans="2:5" ht="12.5">
      <c r="B864" s="40" t="str">
        <f ca="1">IFERROR(__xludf.DUMMYFUNCTION("""COMPUTED_VALUE"""),"")</f>
        <v/>
      </c>
      <c r="E864" s="169"/>
    </row>
    <row r="865" spans="2:5" ht="12.5">
      <c r="B865" s="40" t="str">
        <f ca="1">IFERROR(__xludf.DUMMYFUNCTION("""COMPUTED_VALUE"""),"")</f>
        <v/>
      </c>
      <c r="E865" s="169"/>
    </row>
    <row r="866" spans="2:5" ht="12.5">
      <c r="B866" s="40" t="str">
        <f ca="1">IFERROR(__xludf.DUMMYFUNCTION("""COMPUTED_VALUE"""),"")</f>
        <v/>
      </c>
      <c r="E866" s="169"/>
    </row>
    <row r="867" spans="2:5" ht="12.5">
      <c r="B867" s="40" t="str">
        <f ca="1">IFERROR(__xludf.DUMMYFUNCTION("""COMPUTED_VALUE"""),"")</f>
        <v/>
      </c>
      <c r="E867" s="169"/>
    </row>
    <row r="868" spans="2:5" ht="12.5">
      <c r="B868" s="40" t="str">
        <f ca="1">IFERROR(__xludf.DUMMYFUNCTION("""COMPUTED_VALUE"""),"")</f>
        <v/>
      </c>
      <c r="E868" s="169"/>
    </row>
    <row r="869" spans="2:5" ht="12.5">
      <c r="B869" s="40" t="str">
        <f ca="1">IFERROR(__xludf.DUMMYFUNCTION("""COMPUTED_VALUE"""),"")</f>
        <v/>
      </c>
      <c r="E869" s="169"/>
    </row>
    <row r="870" spans="2:5" ht="12.5">
      <c r="B870" s="40" t="str">
        <f ca="1">IFERROR(__xludf.DUMMYFUNCTION("""COMPUTED_VALUE"""),"")</f>
        <v/>
      </c>
      <c r="E870" s="169"/>
    </row>
    <row r="871" spans="2:5" ht="12.5">
      <c r="B871" s="40" t="str">
        <f ca="1">IFERROR(__xludf.DUMMYFUNCTION("""COMPUTED_VALUE"""),"")</f>
        <v/>
      </c>
      <c r="E871" s="169"/>
    </row>
    <row r="872" spans="2:5" ht="12.5">
      <c r="B872" s="40" t="str">
        <f ca="1">IFERROR(__xludf.DUMMYFUNCTION("""COMPUTED_VALUE"""),"")</f>
        <v/>
      </c>
      <c r="E872" s="169"/>
    </row>
    <row r="873" spans="2:5" ht="12.5">
      <c r="B873" s="40" t="str">
        <f ca="1">IFERROR(__xludf.DUMMYFUNCTION("""COMPUTED_VALUE"""),"")</f>
        <v/>
      </c>
      <c r="E873" s="169"/>
    </row>
    <row r="874" spans="2:5" ht="12.5">
      <c r="B874" s="40" t="str">
        <f ca="1">IFERROR(__xludf.DUMMYFUNCTION("""COMPUTED_VALUE"""),"")</f>
        <v/>
      </c>
      <c r="E874" s="169"/>
    </row>
    <row r="875" spans="2:5" ht="12.5">
      <c r="B875" s="40" t="str">
        <f ca="1">IFERROR(__xludf.DUMMYFUNCTION("""COMPUTED_VALUE"""),"")</f>
        <v/>
      </c>
      <c r="E875" s="169"/>
    </row>
    <row r="876" spans="2:5" ht="12.5">
      <c r="B876" s="40" t="str">
        <f ca="1">IFERROR(__xludf.DUMMYFUNCTION("""COMPUTED_VALUE"""),"")</f>
        <v/>
      </c>
      <c r="E876" s="169"/>
    </row>
    <row r="877" spans="2:5" ht="12.5">
      <c r="B877" s="40" t="str">
        <f ca="1">IFERROR(__xludf.DUMMYFUNCTION("""COMPUTED_VALUE"""),"")</f>
        <v/>
      </c>
      <c r="E877" s="169"/>
    </row>
    <row r="878" spans="2:5" ht="12.5">
      <c r="B878" s="40" t="str">
        <f ca="1">IFERROR(__xludf.DUMMYFUNCTION("""COMPUTED_VALUE"""),"")</f>
        <v/>
      </c>
      <c r="E878" s="169"/>
    </row>
    <row r="879" spans="2:5" ht="12.5">
      <c r="B879" s="40" t="str">
        <f ca="1">IFERROR(__xludf.DUMMYFUNCTION("""COMPUTED_VALUE"""),"")</f>
        <v/>
      </c>
      <c r="E879" s="169"/>
    </row>
    <row r="880" spans="2:5" ht="12.5">
      <c r="B880" s="40" t="str">
        <f ca="1">IFERROR(__xludf.DUMMYFUNCTION("""COMPUTED_VALUE"""),"")</f>
        <v/>
      </c>
      <c r="E880" s="169"/>
    </row>
    <row r="881" spans="2:5" ht="12.5">
      <c r="B881" s="40" t="str">
        <f ca="1">IFERROR(__xludf.DUMMYFUNCTION("""COMPUTED_VALUE"""),"")</f>
        <v/>
      </c>
      <c r="E881" s="169"/>
    </row>
    <row r="882" spans="2:5" ht="12.5">
      <c r="B882" s="40" t="str">
        <f ca="1">IFERROR(__xludf.DUMMYFUNCTION("""COMPUTED_VALUE"""),"")</f>
        <v/>
      </c>
      <c r="E882" s="169"/>
    </row>
    <row r="883" spans="2:5" ht="12.5">
      <c r="B883" s="40" t="str">
        <f ca="1">IFERROR(__xludf.DUMMYFUNCTION("""COMPUTED_VALUE"""),"")</f>
        <v/>
      </c>
      <c r="E883" s="169"/>
    </row>
    <row r="884" spans="2:5" ht="12.5">
      <c r="B884" s="40" t="str">
        <f ca="1">IFERROR(__xludf.DUMMYFUNCTION("""COMPUTED_VALUE"""),"")</f>
        <v/>
      </c>
      <c r="E884" s="169"/>
    </row>
    <row r="885" spans="2:5" ht="12.5">
      <c r="B885" s="40" t="str">
        <f ca="1">IFERROR(__xludf.DUMMYFUNCTION("""COMPUTED_VALUE"""),"")</f>
        <v/>
      </c>
      <c r="E885" s="169"/>
    </row>
    <row r="886" spans="2:5" ht="12.5">
      <c r="B886" s="40" t="str">
        <f ca="1">IFERROR(__xludf.DUMMYFUNCTION("""COMPUTED_VALUE"""),"")</f>
        <v/>
      </c>
      <c r="E886" s="169"/>
    </row>
    <row r="887" spans="2:5" ht="12.5">
      <c r="B887" s="40" t="str">
        <f ca="1">IFERROR(__xludf.DUMMYFUNCTION("""COMPUTED_VALUE"""),"")</f>
        <v/>
      </c>
      <c r="E887" s="169"/>
    </row>
    <row r="888" spans="2:5" ht="12.5">
      <c r="B888" s="40" t="str">
        <f ca="1">IFERROR(__xludf.DUMMYFUNCTION("""COMPUTED_VALUE"""),"")</f>
        <v/>
      </c>
      <c r="E888" s="169"/>
    </row>
    <row r="889" spans="2:5" ht="12.5">
      <c r="B889" s="40" t="str">
        <f ca="1">IFERROR(__xludf.DUMMYFUNCTION("""COMPUTED_VALUE"""),"")</f>
        <v/>
      </c>
      <c r="E889" s="169"/>
    </row>
    <row r="890" spans="2:5" ht="12.5">
      <c r="B890" s="40" t="str">
        <f ca="1">IFERROR(__xludf.DUMMYFUNCTION("""COMPUTED_VALUE"""),"")</f>
        <v/>
      </c>
      <c r="E890" s="169"/>
    </row>
    <row r="891" spans="2:5" ht="12.5">
      <c r="B891" s="40" t="str">
        <f ca="1">IFERROR(__xludf.DUMMYFUNCTION("""COMPUTED_VALUE"""),"")</f>
        <v/>
      </c>
      <c r="E891" s="169"/>
    </row>
    <row r="892" spans="2:5" ht="12.5">
      <c r="B892" s="40" t="str">
        <f ca="1">IFERROR(__xludf.DUMMYFUNCTION("""COMPUTED_VALUE"""),"")</f>
        <v/>
      </c>
      <c r="E892" s="169"/>
    </row>
    <row r="893" spans="2:5" ht="12.5">
      <c r="B893" s="40" t="str">
        <f ca="1">IFERROR(__xludf.DUMMYFUNCTION("""COMPUTED_VALUE"""),"")</f>
        <v/>
      </c>
      <c r="E893" s="169"/>
    </row>
    <row r="894" spans="2:5" ht="12.5">
      <c r="B894" s="40" t="str">
        <f ca="1">IFERROR(__xludf.DUMMYFUNCTION("""COMPUTED_VALUE"""),"")</f>
        <v/>
      </c>
      <c r="E894" s="169"/>
    </row>
    <row r="895" spans="2:5" ht="12.5">
      <c r="B895" s="40" t="str">
        <f ca="1">IFERROR(__xludf.DUMMYFUNCTION("""COMPUTED_VALUE"""),"")</f>
        <v/>
      </c>
      <c r="E895" s="169"/>
    </row>
    <row r="896" spans="2:5" ht="12.5">
      <c r="B896" s="40" t="str">
        <f ca="1">IFERROR(__xludf.DUMMYFUNCTION("""COMPUTED_VALUE"""),"")</f>
        <v/>
      </c>
      <c r="E896" s="169"/>
    </row>
    <row r="897" spans="2:5" ht="12.5">
      <c r="B897" s="40" t="str">
        <f ca="1">IFERROR(__xludf.DUMMYFUNCTION("""COMPUTED_VALUE"""),"")</f>
        <v/>
      </c>
      <c r="E897" s="169"/>
    </row>
    <row r="898" spans="2:5" ht="12.5">
      <c r="B898" s="40" t="str">
        <f ca="1">IFERROR(__xludf.DUMMYFUNCTION("""COMPUTED_VALUE"""),"")</f>
        <v/>
      </c>
      <c r="E898" s="169"/>
    </row>
    <row r="899" spans="2:5" ht="12.5">
      <c r="B899" s="40" t="str">
        <f ca="1">IFERROR(__xludf.DUMMYFUNCTION("""COMPUTED_VALUE"""),"")</f>
        <v/>
      </c>
      <c r="E899" s="169"/>
    </row>
    <row r="900" spans="2:5" ht="12.5">
      <c r="B900" s="40" t="str">
        <f ca="1">IFERROR(__xludf.DUMMYFUNCTION("""COMPUTED_VALUE"""),"")</f>
        <v/>
      </c>
      <c r="E900" s="169"/>
    </row>
    <row r="901" spans="2:5" ht="12.5">
      <c r="B901" s="40" t="str">
        <f ca="1">IFERROR(__xludf.DUMMYFUNCTION("""COMPUTED_VALUE"""),"")</f>
        <v/>
      </c>
      <c r="E901" s="169"/>
    </row>
    <row r="902" spans="2:5" ht="12.5">
      <c r="B902" s="40" t="str">
        <f ca="1">IFERROR(__xludf.DUMMYFUNCTION("""COMPUTED_VALUE"""),"")</f>
        <v/>
      </c>
      <c r="E902" s="169"/>
    </row>
    <row r="903" spans="2:5" ht="12.5">
      <c r="B903" s="40" t="str">
        <f ca="1">IFERROR(__xludf.DUMMYFUNCTION("""COMPUTED_VALUE"""),"")</f>
        <v/>
      </c>
      <c r="E903" s="169"/>
    </row>
    <row r="904" spans="2:5" ht="12.5">
      <c r="B904" s="40" t="str">
        <f ca="1">IFERROR(__xludf.DUMMYFUNCTION("""COMPUTED_VALUE"""),"")</f>
        <v/>
      </c>
      <c r="E904" s="169"/>
    </row>
    <row r="905" spans="2:5" ht="12.5">
      <c r="B905" s="40" t="str">
        <f ca="1">IFERROR(__xludf.DUMMYFUNCTION("""COMPUTED_VALUE"""),"")</f>
        <v/>
      </c>
      <c r="E905" s="169"/>
    </row>
    <row r="906" spans="2:5" ht="12.5">
      <c r="B906" s="40" t="str">
        <f ca="1">IFERROR(__xludf.DUMMYFUNCTION("""COMPUTED_VALUE"""),"")</f>
        <v/>
      </c>
      <c r="E906" s="169"/>
    </row>
    <row r="907" spans="2:5" ht="12.5">
      <c r="B907" s="40" t="str">
        <f ca="1">IFERROR(__xludf.DUMMYFUNCTION("""COMPUTED_VALUE"""),"")</f>
        <v/>
      </c>
      <c r="E907" s="169"/>
    </row>
    <row r="908" spans="2:5" ht="12.5">
      <c r="B908" s="40" t="str">
        <f ca="1">IFERROR(__xludf.DUMMYFUNCTION("""COMPUTED_VALUE"""),"")</f>
        <v/>
      </c>
      <c r="E908" s="169"/>
    </row>
    <row r="909" spans="2:5" ht="12.5">
      <c r="B909" s="40" t="str">
        <f ca="1">IFERROR(__xludf.DUMMYFUNCTION("""COMPUTED_VALUE"""),"")</f>
        <v/>
      </c>
      <c r="E909" s="169"/>
    </row>
    <row r="910" spans="2:5" ht="12.5">
      <c r="B910" s="40" t="str">
        <f ca="1">IFERROR(__xludf.DUMMYFUNCTION("""COMPUTED_VALUE"""),"")</f>
        <v/>
      </c>
      <c r="E910" s="169"/>
    </row>
    <row r="911" spans="2:5" ht="12.5">
      <c r="B911" s="40" t="str">
        <f ca="1">IFERROR(__xludf.DUMMYFUNCTION("""COMPUTED_VALUE"""),"")</f>
        <v/>
      </c>
      <c r="E911" s="169"/>
    </row>
    <row r="912" spans="2:5" ht="12.5">
      <c r="B912" s="40" t="str">
        <f ca="1">IFERROR(__xludf.DUMMYFUNCTION("""COMPUTED_VALUE"""),"")</f>
        <v/>
      </c>
      <c r="E912" s="169"/>
    </row>
    <row r="913" spans="2:5" ht="12.5">
      <c r="B913" s="40" t="str">
        <f ca="1">IFERROR(__xludf.DUMMYFUNCTION("""COMPUTED_VALUE"""),"")</f>
        <v/>
      </c>
      <c r="E913" s="169"/>
    </row>
    <row r="914" spans="2:5" ht="12.5">
      <c r="B914" s="40" t="str">
        <f ca="1">IFERROR(__xludf.DUMMYFUNCTION("""COMPUTED_VALUE"""),"")</f>
        <v/>
      </c>
      <c r="E914" s="169"/>
    </row>
    <row r="915" spans="2:5" ht="12.5">
      <c r="B915" s="40" t="str">
        <f ca="1">IFERROR(__xludf.DUMMYFUNCTION("""COMPUTED_VALUE"""),"")</f>
        <v/>
      </c>
      <c r="E915" s="169"/>
    </row>
    <row r="916" spans="2:5" ht="12.5">
      <c r="B916" s="40" t="str">
        <f ca="1">IFERROR(__xludf.DUMMYFUNCTION("""COMPUTED_VALUE"""),"")</f>
        <v/>
      </c>
      <c r="E916" s="169"/>
    </row>
    <row r="917" spans="2:5" ht="12.5">
      <c r="B917" s="40" t="str">
        <f ca="1">IFERROR(__xludf.DUMMYFUNCTION("""COMPUTED_VALUE"""),"")</f>
        <v/>
      </c>
      <c r="E917" s="169"/>
    </row>
    <row r="918" spans="2:5" ht="12.5">
      <c r="B918" s="40" t="str">
        <f ca="1">IFERROR(__xludf.DUMMYFUNCTION("""COMPUTED_VALUE"""),"")</f>
        <v/>
      </c>
      <c r="E918" s="169"/>
    </row>
    <row r="919" spans="2:5" ht="12.5">
      <c r="B919" s="40" t="str">
        <f ca="1">IFERROR(__xludf.DUMMYFUNCTION("""COMPUTED_VALUE"""),"")</f>
        <v/>
      </c>
      <c r="E919" s="169"/>
    </row>
    <row r="920" spans="2:5" ht="12.5">
      <c r="B920" s="40" t="str">
        <f ca="1">IFERROR(__xludf.DUMMYFUNCTION("""COMPUTED_VALUE"""),"")</f>
        <v/>
      </c>
      <c r="E920" s="169"/>
    </row>
    <row r="921" spans="2:5" ht="12.5">
      <c r="B921" s="40" t="str">
        <f ca="1">IFERROR(__xludf.DUMMYFUNCTION("""COMPUTED_VALUE"""),"")</f>
        <v/>
      </c>
      <c r="E921" s="169"/>
    </row>
    <row r="922" spans="2:5" ht="12.5">
      <c r="B922" s="40" t="str">
        <f ca="1">IFERROR(__xludf.DUMMYFUNCTION("""COMPUTED_VALUE"""),"")</f>
        <v/>
      </c>
      <c r="E922" s="169"/>
    </row>
    <row r="923" spans="2:5" ht="12.5">
      <c r="B923" s="40" t="str">
        <f ca="1">IFERROR(__xludf.DUMMYFUNCTION("""COMPUTED_VALUE"""),"")</f>
        <v/>
      </c>
      <c r="E923" s="169"/>
    </row>
    <row r="924" spans="2:5" ht="12.5">
      <c r="B924" s="40" t="str">
        <f ca="1">IFERROR(__xludf.DUMMYFUNCTION("""COMPUTED_VALUE"""),"")</f>
        <v/>
      </c>
      <c r="E924" s="169"/>
    </row>
    <row r="925" spans="2:5" ht="12.5">
      <c r="B925" s="40" t="str">
        <f ca="1">IFERROR(__xludf.DUMMYFUNCTION("""COMPUTED_VALUE"""),"")</f>
        <v/>
      </c>
      <c r="E925" s="169"/>
    </row>
    <row r="926" spans="2:5" ht="12.5">
      <c r="B926" s="40" t="str">
        <f ca="1">IFERROR(__xludf.DUMMYFUNCTION("""COMPUTED_VALUE"""),"")</f>
        <v/>
      </c>
      <c r="E926" s="169"/>
    </row>
    <row r="927" spans="2:5" ht="12.5">
      <c r="B927" s="40" t="str">
        <f ca="1">IFERROR(__xludf.DUMMYFUNCTION("""COMPUTED_VALUE"""),"")</f>
        <v/>
      </c>
      <c r="E927" s="169"/>
    </row>
    <row r="928" spans="2:5" ht="12.5">
      <c r="B928" s="40" t="str">
        <f ca="1">IFERROR(__xludf.DUMMYFUNCTION("""COMPUTED_VALUE"""),"")</f>
        <v/>
      </c>
      <c r="E928" s="169"/>
    </row>
    <row r="929" spans="2:5" ht="12.5">
      <c r="B929" s="40" t="str">
        <f ca="1">IFERROR(__xludf.DUMMYFUNCTION("""COMPUTED_VALUE"""),"")</f>
        <v/>
      </c>
      <c r="E929" s="169"/>
    </row>
    <row r="930" spans="2:5" ht="12.5">
      <c r="B930" s="40" t="str">
        <f ca="1">IFERROR(__xludf.DUMMYFUNCTION("""COMPUTED_VALUE"""),"")</f>
        <v/>
      </c>
      <c r="E930" s="169"/>
    </row>
    <row r="931" spans="2:5" ht="12.5">
      <c r="B931" s="40" t="str">
        <f ca="1">IFERROR(__xludf.DUMMYFUNCTION("""COMPUTED_VALUE"""),"")</f>
        <v/>
      </c>
      <c r="E931" s="169"/>
    </row>
    <row r="932" spans="2:5" ht="12.5">
      <c r="B932" s="40" t="str">
        <f ca="1">IFERROR(__xludf.DUMMYFUNCTION("""COMPUTED_VALUE"""),"")</f>
        <v/>
      </c>
      <c r="E932" s="169"/>
    </row>
    <row r="933" spans="2:5" ht="12.5">
      <c r="B933" s="40" t="str">
        <f ca="1">IFERROR(__xludf.DUMMYFUNCTION("""COMPUTED_VALUE"""),"")</f>
        <v/>
      </c>
      <c r="E933" s="169"/>
    </row>
    <row r="934" spans="2:5" ht="12.5">
      <c r="B934" s="40" t="str">
        <f ca="1">IFERROR(__xludf.DUMMYFUNCTION("""COMPUTED_VALUE"""),"")</f>
        <v/>
      </c>
      <c r="E934" s="169"/>
    </row>
    <row r="935" spans="2:5" ht="12.5">
      <c r="B935" s="40" t="str">
        <f ca="1">IFERROR(__xludf.DUMMYFUNCTION("""COMPUTED_VALUE"""),"")</f>
        <v/>
      </c>
      <c r="E935" s="169"/>
    </row>
    <row r="936" spans="2:5" ht="12.5">
      <c r="B936" s="40" t="str">
        <f ca="1">IFERROR(__xludf.DUMMYFUNCTION("""COMPUTED_VALUE"""),"")</f>
        <v/>
      </c>
      <c r="E936" s="169"/>
    </row>
    <row r="937" spans="2:5" ht="12.5">
      <c r="B937" s="40" t="str">
        <f ca="1">IFERROR(__xludf.DUMMYFUNCTION("""COMPUTED_VALUE"""),"")</f>
        <v/>
      </c>
      <c r="E937" s="169"/>
    </row>
    <row r="938" spans="2:5" ht="12.5">
      <c r="B938" s="40" t="str">
        <f ca="1">IFERROR(__xludf.DUMMYFUNCTION("""COMPUTED_VALUE"""),"")</f>
        <v/>
      </c>
      <c r="E938" s="169"/>
    </row>
    <row r="939" spans="2:5" ht="12.5">
      <c r="B939" s="40" t="str">
        <f ca="1">IFERROR(__xludf.DUMMYFUNCTION("""COMPUTED_VALUE"""),"")</f>
        <v/>
      </c>
      <c r="E939" s="169"/>
    </row>
    <row r="940" spans="2:5" ht="12.5">
      <c r="B940" s="40" t="str">
        <f ca="1">IFERROR(__xludf.DUMMYFUNCTION("""COMPUTED_VALUE"""),"")</f>
        <v/>
      </c>
      <c r="E940" s="169"/>
    </row>
    <row r="941" spans="2:5" ht="12.5">
      <c r="B941" s="40" t="str">
        <f ca="1">IFERROR(__xludf.DUMMYFUNCTION("""COMPUTED_VALUE"""),"")</f>
        <v/>
      </c>
      <c r="E941" s="169"/>
    </row>
    <row r="942" spans="2:5" ht="12.5">
      <c r="B942" s="40" t="str">
        <f ca="1">IFERROR(__xludf.DUMMYFUNCTION("""COMPUTED_VALUE"""),"")</f>
        <v/>
      </c>
      <c r="E942" s="169"/>
    </row>
    <row r="943" spans="2:5" ht="12.5">
      <c r="B943" s="40" t="str">
        <f ca="1">IFERROR(__xludf.DUMMYFUNCTION("""COMPUTED_VALUE"""),"")</f>
        <v/>
      </c>
      <c r="E943" s="169"/>
    </row>
    <row r="944" spans="2:5" ht="12.5">
      <c r="B944" s="40" t="str">
        <f ca="1">IFERROR(__xludf.DUMMYFUNCTION("""COMPUTED_VALUE"""),"")</f>
        <v/>
      </c>
      <c r="E944" s="169"/>
    </row>
    <row r="945" spans="2:5" ht="12.5">
      <c r="B945" s="40" t="str">
        <f ca="1">IFERROR(__xludf.DUMMYFUNCTION("""COMPUTED_VALUE"""),"")</f>
        <v/>
      </c>
      <c r="E945" s="169"/>
    </row>
    <row r="946" spans="2:5" ht="12.5">
      <c r="B946" s="40" t="str">
        <f ca="1">IFERROR(__xludf.DUMMYFUNCTION("""COMPUTED_VALUE"""),"")</f>
        <v/>
      </c>
      <c r="E946" s="169"/>
    </row>
    <row r="947" spans="2:5" ht="12.5">
      <c r="B947" s="40" t="str">
        <f ca="1">IFERROR(__xludf.DUMMYFUNCTION("""COMPUTED_VALUE"""),"")</f>
        <v/>
      </c>
      <c r="E947" s="169"/>
    </row>
    <row r="948" spans="2:5" ht="12.5">
      <c r="B948" s="40" t="str">
        <f ca="1">IFERROR(__xludf.DUMMYFUNCTION("""COMPUTED_VALUE"""),"")</f>
        <v/>
      </c>
      <c r="E948" s="169"/>
    </row>
    <row r="949" spans="2:5" ht="12.5">
      <c r="B949" s="40" t="str">
        <f ca="1">IFERROR(__xludf.DUMMYFUNCTION("""COMPUTED_VALUE"""),"")</f>
        <v/>
      </c>
      <c r="E949" s="169"/>
    </row>
    <row r="950" spans="2:5" ht="12.5">
      <c r="B950" s="40" t="str">
        <f ca="1">IFERROR(__xludf.DUMMYFUNCTION("""COMPUTED_VALUE"""),"")</f>
        <v/>
      </c>
      <c r="E950" s="169"/>
    </row>
    <row r="951" spans="2:5" ht="12.5">
      <c r="B951" s="40" t="str">
        <f ca="1">IFERROR(__xludf.DUMMYFUNCTION("""COMPUTED_VALUE"""),"")</f>
        <v/>
      </c>
      <c r="E951" s="169"/>
    </row>
    <row r="952" spans="2:5" ht="12.5">
      <c r="B952" s="40" t="str">
        <f ca="1">IFERROR(__xludf.DUMMYFUNCTION("""COMPUTED_VALUE"""),"")</f>
        <v/>
      </c>
      <c r="E952" s="169"/>
    </row>
    <row r="953" spans="2:5" ht="12.5">
      <c r="B953" s="40" t="str">
        <f ca="1">IFERROR(__xludf.DUMMYFUNCTION("""COMPUTED_VALUE"""),"")</f>
        <v/>
      </c>
      <c r="E953" s="169"/>
    </row>
    <row r="954" spans="2:5" ht="12.5">
      <c r="B954" s="40" t="str">
        <f ca="1">IFERROR(__xludf.DUMMYFUNCTION("""COMPUTED_VALUE"""),"")</f>
        <v/>
      </c>
      <c r="E954" s="169"/>
    </row>
    <row r="955" spans="2:5" ht="12.5">
      <c r="B955" s="40" t="str">
        <f ca="1">IFERROR(__xludf.DUMMYFUNCTION("""COMPUTED_VALUE"""),"")</f>
        <v/>
      </c>
      <c r="E955" s="169"/>
    </row>
    <row r="956" spans="2:5" ht="12.5">
      <c r="B956" s="40" t="str">
        <f ca="1">IFERROR(__xludf.DUMMYFUNCTION("""COMPUTED_VALUE"""),"")</f>
        <v/>
      </c>
      <c r="E956" s="169"/>
    </row>
    <row r="957" spans="2:5" ht="12.5">
      <c r="B957" s="40" t="str">
        <f ca="1">IFERROR(__xludf.DUMMYFUNCTION("""COMPUTED_VALUE"""),"")</f>
        <v/>
      </c>
      <c r="E957" s="169"/>
    </row>
    <row r="958" spans="2:5" ht="12.5">
      <c r="B958" s="40" t="str">
        <f ca="1">IFERROR(__xludf.DUMMYFUNCTION("""COMPUTED_VALUE"""),"")</f>
        <v/>
      </c>
      <c r="E958" s="169"/>
    </row>
    <row r="959" spans="2:5" ht="12.5">
      <c r="B959" s="40" t="str">
        <f ca="1">IFERROR(__xludf.DUMMYFUNCTION("""COMPUTED_VALUE"""),"")</f>
        <v/>
      </c>
      <c r="E959" s="169"/>
    </row>
    <row r="960" spans="2:5" ht="12.5">
      <c r="B960" s="40" t="str">
        <f ca="1">IFERROR(__xludf.DUMMYFUNCTION("""COMPUTED_VALUE"""),"")</f>
        <v/>
      </c>
      <c r="E960" s="169"/>
    </row>
    <row r="961" spans="2:5" ht="12.5">
      <c r="B961" s="40" t="str">
        <f ca="1">IFERROR(__xludf.DUMMYFUNCTION("""COMPUTED_VALUE"""),"")</f>
        <v/>
      </c>
      <c r="E961" s="169"/>
    </row>
    <row r="962" spans="2:5" ht="12.5">
      <c r="B962" s="40" t="str">
        <f ca="1">IFERROR(__xludf.DUMMYFUNCTION("""COMPUTED_VALUE"""),"")</f>
        <v/>
      </c>
      <c r="E962" s="169"/>
    </row>
    <row r="963" spans="2:5" ht="12.5">
      <c r="B963" s="40" t="str">
        <f ca="1">IFERROR(__xludf.DUMMYFUNCTION("""COMPUTED_VALUE"""),"")</f>
        <v/>
      </c>
      <c r="E963" s="169"/>
    </row>
    <row r="964" spans="2:5" ht="12.5">
      <c r="B964" s="40" t="str">
        <f ca="1">IFERROR(__xludf.DUMMYFUNCTION("""COMPUTED_VALUE"""),"")</f>
        <v/>
      </c>
      <c r="E964" s="169"/>
    </row>
    <row r="965" spans="2:5" ht="12.5">
      <c r="B965" s="40" t="str">
        <f ca="1">IFERROR(__xludf.DUMMYFUNCTION("""COMPUTED_VALUE"""),"")</f>
        <v/>
      </c>
      <c r="E965" s="169"/>
    </row>
    <row r="966" spans="2:5" ht="12.5">
      <c r="B966" s="40" t="str">
        <f ca="1">IFERROR(__xludf.DUMMYFUNCTION("""COMPUTED_VALUE"""),"")</f>
        <v/>
      </c>
      <c r="E966" s="169"/>
    </row>
    <row r="967" spans="2:5" ht="12.5">
      <c r="B967" s="40" t="str">
        <f ca="1">IFERROR(__xludf.DUMMYFUNCTION("""COMPUTED_VALUE"""),"")</f>
        <v/>
      </c>
      <c r="E967" s="169"/>
    </row>
    <row r="968" spans="2:5" ht="12.5">
      <c r="B968" s="40" t="str">
        <f ca="1">IFERROR(__xludf.DUMMYFUNCTION("""COMPUTED_VALUE"""),"")</f>
        <v/>
      </c>
      <c r="E968" s="169"/>
    </row>
    <row r="969" spans="2:5" ht="12.5">
      <c r="B969" s="40" t="str">
        <f ca="1">IFERROR(__xludf.DUMMYFUNCTION("""COMPUTED_VALUE"""),"")</f>
        <v/>
      </c>
      <c r="E969" s="169"/>
    </row>
    <row r="970" spans="2:5" ht="12.5">
      <c r="B970" s="40" t="str">
        <f ca="1">IFERROR(__xludf.DUMMYFUNCTION("""COMPUTED_VALUE"""),"")</f>
        <v/>
      </c>
      <c r="E970" s="169"/>
    </row>
    <row r="971" spans="2:5" ht="12.5">
      <c r="B971" s="40" t="str">
        <f ca="1">IFERROR(__xludf.DUMMYFUNCTION("""COMPUTED_VALUE"""),"")</f>
        <v/>
      </c>
      <c r="E971" s="169"/>
    </row>
    <row r="972" spans="2:5" ht="12.5">
      <c r="B972" s="40" t="str">
        <f ca="1">IFERROR(__xludf.DUMMYFUNCTION("""COMPUTED_VALUE"""),"")</f>
        <v/>
      </c>
      <c r="E972" s="169"/>
    </row>
    <row r="973" spans="2:5" ht="12.5">
      <c r="B973" s="40" t="str">
        <f ca="1">IFERROR(__xludf.DUMMYFUNCTION("""COMPUTED_VALUE"""),"")</f>
        <v/>
      </c>
      <c r="E973" s="169"/>
    </row>
    <row r="974" spans="2:5" ht="12.5">
      <c r="B974" s="40" t="str">
        <f ca="1">IFERROR(__xludf.DUMMYFUNCTION("""COMPUTED_VALUE"""),"")</f>
        <v/>
      </c>
      <c r="E974" s="169"/>
    </row>
    <row r="975" spans="2:5" ht="12.5">
      <c r="B975" s="40" t="str">
        <f ca="1">IFERROR(__xludf.DUMMYFUNCTION("""COMPUTED_VALUE"""),"")</f>
        <v/>
      </c>
      <c r="E975" s="169"/>
    </row>
    <row r="976" spans="2:5" ht="12.5">
      <c r="B976" s="40" t="str">
        <f ca="1">IFERROR(__xludf.DUMMYFUNCTION("""COMPUTED_VALUE"""),"")</f>
        <v/>
      </c>
      <c r="E976" s="169"/>
    </row>
    <row r="977" spans="2:5" ht="12.5">
      <c r="B977" s="40" t="str">
        <f ca="1">IFERROR(__xludf.DUMMYFUNCTION("""COMPUTED_VALUE"""),"")</f>
        <v/>
      </c>
      <c r="E977" s="169"/>
    </row>
    <row r="978" spans="2:5" ht="12.5">
      <c r="B978" s="40" t="str">
        <f ca="1">IFERROR(__xludf.DUMMYFUNCTION("""COMPUTED_VALUE"""),"")</f>
        <v/>
      </c>
      <c r="E978" s="169"/>
    </row>
    <row r="979" spans="2:5" ht="12.5">
      <c r="B979" s="40" t="str">
        <f ca="1">IFERROR(__xludf.DUMMYFUNCTION("""COMPUTED_VALUE"""),"")</f>
        <v/>
      </c>
      <c r="E979" s="169"/>
    </row>
    <row r="980" spans="2:5" ht="12.5">
      <c r="B980" s="40" t="str">
        <f ca="1">IFERROR(__xludf.DUMMYFUNCTION("""COMPUTED_VALUE"""),"")</f>
        <v/>
      </c>
      <c r="E980" s="169"/>
    </row>
    <row r="981" spans="2:5" ht="12.5">
      <c r="B981" s="40" t="str">
        <f ca="1">IFERROR(__xludf.DUMMYFUNCTION("""COMPUTED_VALUE"""),"")</f>
        <v/>
      </c>
      <c r="E981" s="169"/>
    </row>
    <row r="982" spans="2:5" ht="12.5">
      <c r="B982" s="40" t="str">
        <f ca="1">IFERROR(__xludf.DUMMYFUNCTION("""COMPUTED_VALUE"""),"")</f>
        <v/>
      </c>
      <c r="E982" s="169"/>
    </row>
    <row r="983" spans="2:5" ht="12.5">
      <c r="B983" s="40" t="str">
        <f ca="1">IFERROR(__xludf.DUMMYFUNCTION("""COMPUTED_VALUE"""),"")</f>
        <v/>
      </c>
      <c r="E983" s="169"/>
    </row>
    <row r="984" spans="2:5" ht="12.5">
      <c r="B984" s="40" t="str">
        <f ca="1">IFERROR(__xludf.DUMMYFUNCTION("""COMPUTED_VALUE"""),"")</f>
        <v/>
      </c>
      <c r="E984" s="169"/>
    </row>
    <row r="985" spans="2:5" ht="12.5">
      <c r="B985" s="40" t="str">
        <f ca="1">IFERROR(__xludf.DUMMYFUNCTION("""COMPUTED_VALUE"""),"")</f>
        <v/>
      </c>
      <c r="E985" s="169"/>
    </row>
    <row r="986" spans="2:5" ht="12.5">
      <c r="B986" s="40" t="str">
        <f ca="1">IFERROR(__xludf.DUMMYFUNCTION("""COMPUTED_VALUE"""),"")</f>
        <v/>
      </c>
      <c r="E986" s="169"/>
    </row>
    <row r="987" spans="2:5" ht="12.5">
      <c r="B987" s="40" t="str">
        <f ca="1">IFERROR(__xludf.DUMMYFUNCTION("""COMPUTED_VALUE"""),"")</f>
        <v/>
      </c>
      <c r="E987" s="169"/>
    </row>
    <row r="988" spans="2:5" ht="12.5">
      <c r="B988" s="40" t="str">
        <f ca="1">IFERROR(__xludf.DUMMYFUNCTION("""COMPUTED_VALUE"""),"")</f>
        <v/>
      </c>
      <c r="E988" s="169"/>
    </row>
    <row r="989" spans="2:5" ht="12.5">
      <c r="B989" s="40" t="str">
        <f ca="1">IFERROR(__xludf.DUMMYFUNCTION("""COMPUTED_VALUE"""),"")</f>
        <v/>
      </c>
      <c r="E989" s="169"/>
    </row>
    <row r="990" spans="2:5" ht="12.5">
      <c r="B990" s="40" t="str">
        <f ca="1">IFERROR(__xludf.DUMMYFUNCTION("""COMPUTED_VALUE"""),"")</f>
        <v/>
      </c>
      <c r="E990" s="169"/>
    </row>
    <row r="991" spans="2:5" ht="12.5">
      <c r="B991" s="40" t="str">
        <f ca="1">IFERROR(__xludf.DUMMYFUNCTION("""COMPUTED_VALUE"""),"")</f>
        <v/>
      </c>
      <c r="E991" s="169"/>
    </row>
    <row r="992" spans="2:5" ht="12.5">
      <c r="B992" s="40" t="str">
        <f ca="1">IFERROR(__xludf.DUMMYFUNCTION("""COMPUTED_VALUE"""),"")</f>
        <v/>
      </c>
      <c r="E992" s="169"/>
    </row>
    <row r="993" spans="2:5" ht="12.5">
      <c r="B993" s="40" t="str">
        <f ca="1">IFERROR(__xludf.DUMMYFUNCTION("""COMPUTED_VALUE"""),"")</f>
        <v/>
      </c>
      <c r="E993" s="169"/>
    </row>
    <row r="994" spans="2:5" ht="12.5">
      <c r="B994" s="40" t="str">
        <f ca="1">IFERROR(__xludf.DUMMYFUNCTION("""COMPUTED_VALUE"""),"")</f>
        <v/>
      </c>
      <c r="E994" s="169"/>
    </row>
    <row r="995" spans="2:5" ht="12.5">
      <c r="B995" s="40" t="str">
        <f ca="1">IFERROR(__xludf.DUMMYFUNCTION("""COMPUTED_VALUE"""),"")</f>
        <v/>
      </c>
      <c r="E995" s="169"/>
    </row>
    <row r="996" spans="2:5" ht="12.5">
      <c r="B996" s="40" t="str">
        <f ca="1">IFERROR(__xludf.DUMMYFUNCTION("""COMPUTED_VALUE"""),"")</f>
        <v/>
      </c>
      <c r="E996" s="169"/>
    </row>
    <row r="997" spans="2:5" ht="12.5">
      <c r="B997" s="40" t="str">
        <f ca="1">IFERROR(__xludf.DUMMYFUNCTION("""COMPUTED_VALUE"""),"")</f>
        <v/>
      </c>
      <c r="E997" s="169"/>
    </row>
    <row r="998" spans="2:5" ht="12.5">
      <c r="B998" s="40" t="str">
        <f ca="1">IFERROR(__xludf.DUMMYFUNCTION("""COMPUTED_VALUE"""),"")</f>
        <v/>
      </c>
      <c r="E998" s="169"/>
    </row>
    <row r="999" spans="2:5" ht="12.5">
      <c r="B999" s="40" t="str">
        <f ca="1">IFERROR(__xludf.DUMMYFUNCTION("""COMPUTED_VALUE"""),"")</f>
        <v/>
      </c>
      <c r="E999" s="169"/>
    </row>
    <row r="1000" spans="2:5" ht="12.5">
      <c r="B1000" s="40" t="str">
        <f ca="1">IFERROR(__xludf.DUMMYFUNCTION("""COMPUTED_VALUE"""),"")</f>
        <v/>
      </c>
      <c r="E1000" s="169"/>
    </row>
  </sheetData>
  <hyperlinks>
    <hyperlink ref="C3" r:id="rId1" xr:uid="{00000000-0004-0000-0100-000000000000}"/>
    <hyperlink ref="D3" r:id="rId2" xr:uid="{00000000-0004-0000-0100-000001000000}"/>
    <hyperlink ref="C4" r:id="rId3" xr:uid="{00000000-0004-0000-0100-000002000000}"/>
    <hyperlink ref="D4" r:id="rId4" xr:uid="{00000000-0004-0000-0100-000003000000}"/>
    <hyperlink ref="C5" r:id="rId5" xr:uid="{00000000-0004-0000-0100-000004000000}"/>
    <hyperlink ref="D5" r:id="rId6" xr:uid="{00000000-0004-0000-0100-000005000000}"/>
    <hyperlink ref="C6" r:id="rId7" xr:uid="{00000000-0004-0000-0100-000006000000}"/>
    <hyperlink ref="D6" r:id="rId8" xr:uid="{00000000-0004-0000-0100-000007000000}"/>
    <hyperlink ref="C7" r:id="rId9" xr:uid="{00000000-0004-0000-0100-000008000000}"/>
    <hyperlink ref="D7" r:id="rId10" xr:uid="{00000000-0004-0000-0100-000009000000}"/>
    <hyperlink ref="C8" r:id="rId11" xr:uid="{00000000-0004-0000-0100-00000A000000}"/>
    <hyperlink ref="D8" r:id="rId12" xr:uid="{00000000-0004-0000-0100-00000B000000}"/>
    <hyperlink ref="C9" r:id="rId13" xr:uid="{00000000-0004-0000-0100-00000C000000}"/>
    <hyperlink ref="D9" r:id="rId14" xr:uid="{00000000-0004-0000-0100-00000D000000}"/>
    <hyperlink ref="C10" r:id="rId15" xr:uid="{00000000-0004-0000-0100-00000E000000}"/>
    <hyperlink ref="D10" r:id="rId16" xr:uid="{00000000-0004-0000-0100-00000F000000}"/>
    <hyperlink ref="C11" r:id="rId17" xr:uid="{00000000-0004-0000-0100-000010000000}"/>
    <hyperlink ref="D11" r:id="rId18" xr:uid="{00000000-0004-0000-0100-000011000000}"/>
    <hyperlink ref="C12" r:id="rId19" xr:uid="{00000000-0004-0000-0100-000012000000}"/>
    <hyperlink ref="D12" r:id="rId20" xr:uid="{00000000-0004-0000-0100-000013000000}"/>
    <hyperlink ref="C13" r:id="rId21" xr:uid="{00000000-0004-0000-0100-000014000000}"/>
    <hyperlink ref="D13" r:id="rId22" xr:uid="{00000000-0004-0000-0100-000015000000}"/>
    <hyperlink ref="C14" r:id="rId23" xr:uid="{00000000-0004-0000-0100-000016000000}"/>
    <hyperlink ref="D14" r:id="rId24" xr:uid="{00000000-0004-0000-0100-000017000000}"/>
    <hyperlink ref="C15" r:id="rId25" xr:uid="{00000000-0004-0000-0100-000018000000}"/>
    <hyperlink ref="D15" r:id="rId26" xr:uid="{00000000-0004-0000-0100-000019000000}"/>
    <hyperlink ref="C16" r:id="rId27" xr:uid="{00000000-0004-0000-0100-00001A000000}"/>
    <hyperlink ref="D16" r:id="rId28" xr:uid="{00000000-0004-0000-0100-00001B000000}"/>
    <hyperlink ref="C17" r:id="rId29" xr:uid="{00000000-0004-0000-0100-00001C000000}"/>
    <hyperlink ref="D17" r:id="rId30" xr:uid="{00000000-0004-0000-0100-00001D000000}"/>
    <hyperlink ref="C18" r:id="rId31" xr:uid="{00000000-0004-0000-0100-00001E000000}"/>
    <hyperlink ref="D18" r:id="rId32" xr:uid="{00000000-0004-0000-0100-00001F000000}"/>
    <hyperlink ref="C19" r:id="rId33" xr:uid="{00000000-0004-0000-0100-000020000000}"/>
    <hyperlink ref="D19" r:id="rId34" xr:uid="{00000000-0004-0000-0100-000021000000}"/>
    <hyperlink ref="C20" r:id="rId35" xr:uid="{00000000-0004-0000-0100-000022000000}"/>
    <hyperlink ref="D20" r:id="rId36" xr:uid="{00000000-0004-0000-0100-000023000000}"/>
    <hyperlink ref="C21" r:id="rId37" xr:uid="{00000000-0004-0000-0100-000024000000}"/>
    <hyperlink ref="D21" r:id="rId38" xr:uid="{00000000-0004-0000-0100-000025000000}"/>
    <hyperlink ref="C22" r:id="rId39" xr:uid="{00000000-0004-0000-0100-000026000000}"/>
    <hyperlink ref="D22" r:id="rId40" xr:uid="{00000000-0004-0000-0100-000027000000}"/>
    <hyperlink ref="C23" r:id="rId41" xr:uid="{00000000-0004-0000-0100-000028000000}"/>
    <hyperlink ref="D23" r:id="rId42" xr:uid="{00000000-0004-0000-0100-000029000000}"/>
    <hyperlink ref="C24" r:id="rId43" xr:uid="{00000000-0004-0000-0100-00002A000000}"/>
    <hyperlink ref="D24" r:id="rId44" xr:uid="{00000000-0004-0000-0100-00002B000000}"/>
    <hyperlink ref="C25" r:id="rId45" xr:uid="{00000000-0004-0000-0100-00002C000000}"/>
    <hyperlink ref="D25" r:id="rId46" xr:uid="{00000000-0004-0000-0100-00002D000000}"/>
    <hyperlink ref="C26" r:id="rId47" xr:uid="{00000000-0004-0000-0100-00002E000000}"/>
    <hyperlink ref="D26" r:id="rId48" xr:uid="{00000000-0004-0000-0100-00002F000000}"/>
    <hyperlink ref="C27" r:id="rId49" xr:uid="{00000000-0004-0000-0100-000030000000}"/>
    <hyperlink ref="D27" r:id="rId50" xr:uid="{00000000-0004-0000-0100-000031000000}"/>
    <hyperlink ref="C28" r:id="rId51" xr:uid="{00000000-0004-0000-0100-000032000000}"/>
    <hyperlink ref="D28" r:id="rId52" xr:uid="{00000000-0004-0000-0100-000033000000}"/>
    <hyperlink ref="C29" r:id="rId53" xr:uid="{00000000-0004-0000-0100-000034000000}"/>
    <hyperlink ref="D29" r:id="rId54" xr:uid="{00000000-0004-0000-0100-000035000000}"/>
    <hyperlink ref="C30" r:id="rId55" xr:uid="{00000000-0004-0000-0100-000036000000}"/>
    <hyperlink ref="D30" r:id="rId56" xr:uid="{00000000-0004-0000-0100-000037000000}"/>
    <hyperlink ref="C31" r:id="rId57" xr:uid="{00000000-0004-0000-0100-000038000000}"/>
    <hyperlink ref="D31" r:id="rId58" xr:uid="{00000000-0004-0000-0100-000039000000}"/>
    <hyperlink ref="C32" r:id="rId59" xr:uid="{00000000-0004-0000-0100-00003A000000}"/>
    <hyperlink ref="D32" r:id="rId60" xr:uid="{00000000-0004-0000-0100-00003B000000}"/>
    <hyperlink ref="C33" r:id="rId61" xr:uid="{00000000-0004-0000-0100-00003C000000}"/>
    <hyperlink ref="D33" r:id="rId62" xr:uid="{00000000-0004-0000-0100-00003D000000}"/>
    <hyperlink ref="C34" r:id="rId63" xr:uid="{00000000-0004-0000-0100-00003E000000}"/>
    <hyperlink ref="D34" r:id="rId64" xr:uid="{00000000-0004-0000-0100-00003F000000}"/>
    <hyperlink ref="C35" r:id="rId65" xr:uid="{00000000-0004-0000-0100-000040000000}"/>
    <hyperlink ref="D35" r:id="rId66" xr:uid="{00000000-0004-0000-0100-000041000000}"/>
    <hyperlink ref="C36" r:id="rId67" xr:uid="{00000000-0004-0000-0100-000042000000}"/>
    <hyperlink ref="D36" r:id="rId68" xr:uid="{00000000-0004-0000-0100-000043000000}"/>
    <hyperlink ref="C37" r:id="rId69" xr:uid="{00000000-0004-0000-0100-000044000000}"/>
    <hyperlink ref="D37" r:id="rId70" xr:uid="{00000000-0004-0000-0100-000045000000}"/>
    <hyperlink ref="C38" r:id="rId71" xr:uid="{00000000-0004-0000-0100-000046000000}"/>
    <hyperlink ref="D38" r:id="rId72" xr:uid="{00000000-0004-0000-0100-000047000000}"/>
    <hyperlink ref="C39" r:id="rId73" xr:uid="{00000000-0004-0000-0100-000048000000}"/>
    <hyperlink ref="D39" r:id="rId74" xr:uid="{00000000-0004-0000-0100-000049000000}"/>
    <hyperlink ref="C40" r:id="rId75" xr:uid="{00000000-0004-0000-0100-00004A000000}"/>
    <hyperlink ref="D40" r:id="rId76" xr:uid="{00000000-0004-0000-0100-00004B000000}"/>
    <hyperlink ref="C41" r:id="rId77" xr:uid="{00000000-0004-0000-0100-00004C000000}"/>
    <hyperlink ref="D41" r:id="rId78" xr:uid="{00000000-0004-0000-0100-00004D000000}"/>
    <hyperlink ref="C42" r:id="rId79" xr:uid="{00000000-0004-0000-0100-00004E000000}"/>
    <hyperlink ref="D42" r:id="rId80" xr:uid="{00000000-0004-0000-0100-00004F000000}"/>
    <hyperlink ref="C43" r:id="rId81" xr:uid="{00000000-0004-0000-0100-000050000000}"/>
    <hyperlink ref="D43" r:id="rId82" xr:uid="{00000000-0004-0000-0100-000051000000}"/>
    <hyperlink ref="C44" r:id="rId83" xr:uid="{00000000-0004-0000-0100-000052000000}"/>
    <hyperlink ref="D44" r:id="rId84" xr:uid="{00000000-0004-0000-0100-000053000000}"/>
    <hyperlink ref="C45" r:id="rId85" xr:uid="{00000000-0004-0000-0100-000054000000}"/>
    <hyperlink ref="D45" r:id="rId86" xr:uid="{00000000-0004-0000-0100-000055000000}"/>
    <hyperlink ref="C46" r:id="rId87" xr:uid="{00000000-0004-0000-0100-000056000000}"/>
    <hyperlink ref="D46" r:id="rId88" xr:uid="{00000000-0004-0000-0100-000057000000}"/>
    <hyperlink ref="C47" r:id="rId89" xr:uid="{00000000-0004-0000-0100-000058000000}"/>
    <hyperlink ref="D47" r:id="rId90" xr:uid="{00000000-0004-0000-0100-000059000000}"/>
    <hyperlink ref="C48" r:id="rId91" xr:uid="{00000000-0004-0000-0100-00005A000000}"/>
    <hyperlink ref="D48" r:id="rId92" xr:uid="{00000000-0004-0000-0100-00005B000000}"/>
    <hyperlink ref="C49" r:id="rId93" xr:uid="{00000000-0004-0000-0100-00005C000000}"/>
    <hyperlink ref="D49" r:id="rId94" xr:uid="{00000000-0004-0000-0100-00005D000000}"/>
    <hyperlink ref="C50" r:id="rId95" xr:uid="{00000000-0004-0000-0100-00005E000000}"/>
    <hyperlink ref="D50" r:id="rId96" xr:uid="{00000000-0004-0000-0100-00005F000000}"/>
    <hyperlink ref="C51" r:id="rId97" xr:uid="{00000000-0004-0000-0100-000060000000}"/>
    <hyperlink ref="D51" r:id="rId98" xr:uid="{00000000-0004-0000-0100-000061000000}"/>
    <hyperlink ref="C52" r:id="rId99" xr:uid="{00000000-0004-0000-0100-000062000000}"/>
    <hyperlink ref="D52" r:id="rId100" xr:uid="{00000000-0004-0000-0100-000063000000}"/>
    <hyperlink ref="C53" r:id="rId101" xr:uid="{00000000-0004-0000-0100-000064000000}"/>
    <hyperlink ref="D53" r:id="rId102" xr:uid="{00000000-0004-0000-0100-000065000000}"/>
    <hyperlink ref="C54" r:id="rId103" xr:uid="{00000000-0004-0000-0100-000066000000}"/>
    <hyperlink ref="D54" r:id="rId104" xr:uid="{00000000-0004-0000-0100-000067000000}"/>
    <hyperlink ref="C55" r:id="rId105" xr:uid="{00000000-0004-0000-0100-000068000000}"/>
    <hyperlink ref="C56" r:id="rId106" xr:uid="{00000000-0004-0000-0100-000069000000}"/>
    <hyperlink ref="D56" r:id="rId107" xr:uid="{00000000-0004-0000-0100-00006A000000}"/>
    <hyperlink ref="C57" r:id="rId108" xr:uid="{00000000-0004-0000-0100-00006B000000}"/>
    <hyperlink ref="D57" r:id="rId109" xr:uid="{00000000-0004-0000-0100-00006C000000}"/>
    <hyperlink ref="C58" r:id="rId110" xr:uid="{00000000-0004-0000-0100-00006D000000}"/>
    <hyperlink ref="D58" r:id="rId111" xr:uid="{00000000-0004-0000-0100-00006E000000}"/>
    <hyperlink ref="C59" r:id="rId112" xr:uid="{00000000-0004-0000-0100-00006F000000}"/>
    <hyperlink ref="D59" r:id="rId113" xr:uid="{00000000-0004-0000-0100-000070000000}"/>
    <hyperlink ref="C60" r:id="rId114" xr:uid="{00000000-0004-0000-0100-000071000000}"/>
    <hyperlink ref="D60" r:id="rId115" xr:uid="{00000000-0004-0000-0100-000072000000}"/>
    <hyperlink ref="C61" r:id="rId116" xr:uid="{00000000-0004-0000-0100-000073000000}"/>
    <hyperlink ref="D61" r:id="rId117" xr:uid="{00000000-0004-0000-0100-000074000000}"/>
    <hyperlink ref="C62" r:id="rId118" xr:uid="{00000000-0004-0000-0100-000075000000}"/>
    <hyperlink ref="D62" r:id="rId119" xr:uid="{00000000-0004-0000-0100-000076000000}"/>
    <hyperlink ref="C63" r:id="rId120" xr:uid="{00000000-0004-0000-0100-000077000000}"/>
    <hyperlink ref="D63" r:id="rId121" xr:uid="{00000000-0004-0000-0100-000078000000}"/>
    <hyperlink ref="C64" r:id="rId122" xr:uid="{00000000-0004-0000-0100-000079000000}"/>
    <hyperlink ref="D64" r:id="rId123" xr:uid="{00000000-0004-0000-0100-00007A000000}"/>
    <hyperlink ref="C65" r:id="rId124" xr:uid="{00000000-0004-0000-0100-00007B000000}"/>
    <hyperlink ref="D65" r:id="rId125" xr:uid="{00000000-0004-0000-0100-00007C000000}"/>
    <hyperlink ref="C66" r:id="rId126" xr:uid="{00000000-0004-0000-0100-00007D000000}"/>
    <hyperlink ref="D66" r:id="rId127" xr:uid="{00000000-0004-0000-0100-00007E000000}"/>
    <hyperlink ref="C67" r:id="rId128" xr:uid="{00000000-0004-0000-0100-00007F000000}"/>
    <hyperlink ref="D67" r:id="rId129" xr:uid="{00000000-0004-0000-0100-000080000000}"/>
    <hyperlink ref="C68" r:id="rId130" xr:uid="{00000000-0004-0000-0100-000081000000}"/>
    <hyperlink ref="D68" r:id="rId131" xr:uid="{00000000-0004-0000-0100-000082000000}"/>
    <hyperlink ref="C69" r:id="rId132" xr:uid="{00000000-0004-0000-0100-000083000000}"/>
    <hyperlink ref="D69" r:id="rId133" xr:uid="{00000000-0004-0000-0100-000084000000}"/>
    <hyperlink ref="C70" r:id="rId134" xr:uid="{00000000-0004-0000-0100-000085000000}"/>
    <hyperlink ref="D70" r:id="rId135" xr:uid="{00000000-0004-0000-0100-000086000000}"/>
    <hyperlink ref="C71" r:id="rId136" xr:uid="{00000000-0004-0000-0100-000087000000}"/>
    <hyperlink ref="D71" r:id="rId137" xr:uid="{00000000-0004-0000-0100-000088000000}"/>
    <hyperlink ref="C72" r:id="rId138" xr:uid="{00000000-0004-0000-0100-000089000000}"/>
    <hyperlink ref="D72" r:id="rId139" xr:uid="{00000000-0004-0000-0100-00008A000000}"/>
    <hyperlink ref="C73" r:id="rId140" xr:uid="{00000000-0004-0000-0100-00008B000000}"/>
    <hyperlink ref="D73" r:id="rId141" xr:uid="{00000000-0004-0000-0100-00008C000000}"/>
    <hyperlink ref="C74" r:id="rId142" xr:uid="{00000000-0004-0000-0100-00008D000000}"/>
    <hyperlink ref="D74" r:id="rId143" xr:uid="{00000000-0004-0000-0100-00008E000000}"/>
    <hyperlink ref="C75" r:id="rId144" xr:uid="{00000000-0004-0000-0100-00008F000000}"/>
    <hyperlink ref="D75" r:id="rId145" xr:uid="{00000000-0004-0000-0100-000090000000}"/>
    <hyperlink ref="C76" r:id="rId146" xr:uid="{00000000-0004-0000-0100-000091000000}"/>
    <hyperlink ref="D76" r:id="rId147" xr:uid="{00000000-0004-0000-0100-000092000000}"/>
    <hyperlink ref="C77" r:id="rId148" xr:uid="{00000000-0004-0000-0100-000093000000}"/>
    <hyperlink ref="D77" r:id="rId149" xr:uid="{00000000-0004-0000-0100-000094000000}"/>
    <hyperlink ref="C78" r:id="rId150" xr:uid="{00000000-0004-0000-0100-000095000000}"/>
    <hyperlink ref="D78" r:id="rId151" xr:uid="{00000000-0004-0000-0100-000096000000}"/>
    <hyperlink ref="C79" r:id="rId152" xr:uid="{00000000-0004-0000-0100-000097000000}"/>
    <hyperlink ref="D79" r:id="rId153" xr:uid="{00000000-0004-0000-0100-000098000000}"/>
    <hyperlink ref="C80" r:id="rId154" xr:uid="{00000000-0004-0000-0100-000099000000}"/>
    <hyperlink ref="D80" r:id="rId155" xr:uid="{00000000-0004-0000-0100-00009A000000}"/>
    <hyperlink ref="C81" r:id="rId156" xr:uid="{00000000-0004-0000-0100-00009B000000}"/>
    <hyperlink ref="D81" r:id="rId157" xr:uid="{00000000-0004-0000-0100-00009C000000}"/>
    <hyperlink ref="C82" r:id="rId158" xr:uid="{00000000-0004-0000-0100-00009D000000}"/>
    <hyperlink ref="D82" r:id="rId159" xr:uid="{00000000-0004-0000-0100-00009E000000}"/>
    <hyperlink ref="C83" r:id="rId160" xr:uid="{00000000-0004-0000-0100-00009F000000}"/>
    <hyperlink ref="D83" r:id="rId161" xr:uid="{00000000-0004-0000-0100-0000A0000000}"/>
    <hyperlink ref="C84" r:id="rId162" xr:uid="{00000000-0004-0000-0100-0000A1000000}"/>
    <hyperlink ref="D84" r:id="rId163" xr:uid="{00000000-0004-0000-0100-0000A2000000}"/>
    <hyperlink ref="C85" r:id="rId164" xr:uid="{00000000-0004-0000-0100-0000A3000000}"/>
    <hyperlink ref="D85" r:id="rId165" xr:uid="{00000000-0004-0000-0100-0000A4000000}"/>
    <hyperlink ref="C86" r:id="rId166" xr:uid="{00000000-0004-0000-0100-0000A5000000}"/>
    <hyperlink ref="D86" r:id="rId167" xr:uid="{00000000-0004-0000-0100-0000A6000000}"/>
    <hyperlink ref="C87" r:id="rId168" xr:uid="{00000000-0004-0000-0100-0000A7000000}"/>
    <hyperlink ref="D87" r:id="rId169" xr:uid="{00000000-0004-0000-0100-0000A8000000}"/>
    <hyperlink ref="C88" r:id="rId170" xr:uid="{00000000-0004-0000-0100-0000A9000000}"/>
    <hyperlink ref="D88" r:id="rId171" xr:uid="{00000000-0004-0000-0100-0000AA000000}"/>
    <hyperlink ref="C89" r:id="rId172" xr:uid="{00000000-0004-0000-0100-0000AB000000}"/>
    <hyperlink ref="D89" r:id="rId173" xr:uid="{00000000-0004-0000-0100-0000AC000000}"/>
    <hyperlink ref="C90" r:id="rId174" xr:uid="{00000000-0004-0000-0100-0000AD000000}"/>
    <hyperlink ref="D90" r:id="rId175" xr:uid="{00000000-0004-0000-0100-0000AE000000}"/>
    <hyperlink ref="C91" r:id="rId176" xr:uid="{00000000-0004-0000-0100-0000AF000000}"/>
    <hyperlink ref="D91" r:id="rId177" xr:uid="{00000000-0004-0000-0100-0000B0000000}"/>
    <hyperlink ref="C92" r:id="rId178" xr:uid="{00000000-0004-0000-0100-0000B1000000}"/>
    <hyperlink ref="D92" r:id="rId179" xr:uid="{00000000-0004-0000-0100-0000B2000000}"/>
    <hyperlink ref="C93" r:id="rId180" xr:uid="{00000000-0004-0000-0100-0000B3000000}"/>
    <hyperlink ref="D93" r:id="rId181" xr:uid="{00000000-0004-0000-0100-0000B4000000}"/>
    <hyperlink ref="C95" r:id="rId182" xr:uid="{00000000-0004-0000-0100-0000B5000000}"/>
    <hyperlink ref="D95" r:id="rId183" xr:uid="{00000000-0004-0000-0100-0000B6000000}"/>
    <hyperlink ref="C96" r:id="rId184" xr:uid="{00000000-0004-0000-0100-0000B7000000}"/>
    <hyperlink ref="D96" r:id="rId185" xr:uid="{00000000-0004-0000-0100-0000B8000000}"/>
    <hyperlink ref="C97" r:id="rId186" xr:uid="{00000000-0004-0000-0100-0000B9000000}"/>
    <hyperlink ref="D97" r:id="rId187" xr:uid="{00000000-0004-0000-0100-0000BA000000}"/>
    <hyperlink ref="C98" r:id="rId188" xr:uid="{00000000-0004-0000-0100-0000BB000000}"/>
    <hyperlink ref="D98" r:id="rId189" xr:uid="{00000000-0004-0000-0100-0000BC000000}"/>
    <hyperlink ref="C99" r:id="rId190" xr:uid="{00000000-0004-0000-0100-0000BD000000}"/>
    <hyperlink ref="D99" r:id="rId191" xr:uid="{00000000-0004-0000-0100-0000BE000000}"/>
    <hyperlink ref="C100" r:id="rId192" xr:uid="{00000000-0004-0000-0100-0000BF000000}"/>
    <hyperlink ref="D100" r:id="rId193" xr:uid="{00000000-0004-0000-0100-0000C0000000}"/>
    <hyperlink ref="C102" r:id="rId194" xr:uid="{00000000-0004-0000-0100-0000C1000000}"/>
    <hyperlink ref="D102" r:id="rId195" xr:uid="{00000000-0004-0000-0100-0000C2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vt:lpstr>
      <vt:lpstr>Non-AI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Chuanpu Wang</cp:lastModifiedBy>
  <dcterms:modified xsi:type="dcterms:W3CDTF">2026-09-06T15:03:29Z</dcterms:modified>
</cp:coreProperties>
</file>